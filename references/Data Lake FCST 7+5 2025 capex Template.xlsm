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kran\Desktop\Budgeting\2026 Budget\"/>
    </mc:Choice>
  </mc:AlternateContent>
  <xr:revisionPtr revIDLastSave="0" documentId="13_ncr:1_{08F8C379-3C53-4634-9256-B8ECCC407177}" xr6:coauthVersionLast="47" xr6:coauthVersionMax="47" xr10:uidLastSave="{00000000-0000-0000-0000-000000000000}"/>
  <bookViews>
    <workbookView xWindow="-110" yWindow="-110" windowWidth="19420" windowHeight="10300" tabRatio="802" activeTab="2" xr2:uid="{00000000-000D-0000-FFFF-FFFF00000000}"/>
  </bookViews>
  <sheets>
    <sheet name="Projects Euro" sheetId="41" r:id="rId1"/>
    <sheet name="Projects USD" sheetId="42" r:id="rId2"/>
    <sheet name="Projects EGP" sheetId="43" r:id="rId3"/>
    <sheet name="Rates" sheetId="3" r:id="rId4"/>
    <sheet name="Projects Consolidation" sheetId="54" r:id="rId5"/>
    <sheet name="Sheet1" sheetId="67" r:id="rId6"/>
    <sheet name="PO's" sheetId="66" r:id="rId7"/>
    <sheet name="finance email" sheetId="62" state="hidden" r:id="rId8"/>
    <sheet name="Sheet3" sheetId="63" state="hidden" r:id="rId9"/>
    <sheet name="Budget comparison " sheetId="64" state="hidden" r:id="rId10"/>
    <sheet name="Summary" sheetId="65" state="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xlnm._FilterDatabase" localSheetId="2" hidden="1">'Projects EGP'!$A$2:$R$10</definedName>
    <definedName name="_xlnm._FilterDatabase" localSheetId="1" hidden="1">'Projects USD'!$A$3:$U$10</definedName>
    <definedName name="_xlnm._FilterDatabase" localSheetId="5" hidden="1">Sheet1!$A$4:$J$32</definedName>
    <definedName name="a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aa" localSheetId="2" hidden="1">{"COST",#N/A,FALSE,"SYNTHESE";"MARGIN",#N/A,FALSE,"SYNTHESE";"LOT_COM",#N/A,FALSE,"SYNTHESE"}</definedName>
    <definedName name="aa" localSheetId="0" hidden="1">{"COST",#N/A,FALSE,"SYNTHESE";"MARGIN",#N/A,FALSE,"SYNTHESE";"LOT_COM",#N/A,FALSE,"SYNTHESE"}</definedName>
    <definedName name="aa" localSheetId="1" hidden="1">{"COST",#N/A,FALSE,"SYNTHESE";"MARGIN",#N/A,FALSE,"SYNTHESE";"LOT_COM",#N/A,FALSE,"SYNTHESE"}</definedName>
    <definedName name="aa" hidden="1">{"COST",#N/A,FALSE,"SYNTHESE";"MARGIN",#N/A,FALSE,"SYNTHESE";"LOT_COM",#N/A,FALSE,"SYNTHESE"}</definedName>
    <definedName name="abonneffectif">'[1]slide(Revenue &amp; EBITDA)'!#REF!</definedName>
    <definedName name="add_bts">#REF!</definedName>
    <definedName name="add_TRX" localSheetId="2">'[2]Re-Installation'!#REF!</definedName>
    <definedName name="add_TRX" localSheetId="0">'[2]Re-Installation'!#REF!</definedName>
    <definedName name="add_TRX" localSheetId="1">'[2]Re-Installation'!#REF!</definedName>
    <definedName name="add_TRX">'[3]Re-Installation'!#REF!</definedName>
    <definedName name="Agosto">'[1]Set-up'!$H$5:$H$165</definedName>
    <definedName name="b4sw">#REF!</definedName>
    <definedName name="bsc" localSheetId="2">[2]BSC_TC!#REF!</definedName>
    <definedName name="bsc" localSheetId="0">[2]BSC_TC!#REF!</definedName>
    <definedName name="bsc" localSheetId="1">[2]BSC_TC!#REF!</definedName>
    <definedName name="bsc">[3]BSC_TC!#REF!</definedName>
    <definedName name="bsc_ext" localSheetId="2">[2]BSC_TC!#REF!</definedName>
    <definedName name="bsc_ext" localSheetId="0">[2]BSC_TC!#REF!</definedName>
    <definedName name="bsc_ext" localSheetId="1">[2]BSC_TC!#REF!</definedName>
    <definedName name="bsc_ext">[3]BSC_TC!#REF!</definedName>
    <definedName name="bts_ac_dc">#REF!</definedName>
    <definedName name="bts_ext_cell">#REF!</definedName>
    <definedName name="bts_ind" localSheetId="2">'[4]Alcatel Price list'!#REF!</definedName>
    <definedName name="bts_ind" localSheetId="0">'[4]Alcatel Price list'!#REF!</definedName>
    <definedName name="bts_ind" localSheetId="1">'[4]Alcatel Price list'!#REF!</definedName>
    <definedName name="bts_ind">'[5]Alcatel Price list'!#REF!</definedName>
    <definedName name="bts_ind_ext" localSheetId="2">'[2]BTS Indoor Extension'!#REF!</definedName>
    <definedName name="bts_ind_ext" localSheetId="0">'[2]BTS Indoor Extension'!#REF!</definedName>
    <definedName name="bts_ind_ext" localSheetId="1">'[2]BTS Indoor Extension'!#REF!</definedName>
    <definedName name="bts_ind_ext">'[3]BTS Indoor Extension'!#REF!</definedName>
    <definedName name="bts_ind_ext_ser">#REF!</definedName>
    <definedName name="bts_ind1800" localSheetId="2">'[4]Alcatel Price list'!#REF!</definedName>
    <definedName name="bts_ind1800" localSheetId="0">'[4]Alcatel Price list'!#REF!</definedName>
    <definedName name="bts_ind1800" localSheetId="1">'[4]Alcatel Price list'!#REF!</definedName>
    <definedName name="bts_ind1800">'[5]Alcatel Price list'!#REF!</definedName>
    <definedName name="bts_ind900" localSheetId="2">'[4]Alcatel Price list'!#REF!</definedName>
    <definedName name="bts_ind900" localSheetId="0">'[4]Alcatel Price list'!#REF!</definedName>
    <definedName name="bts_ind900" localSheetId="1">'[4]Alcatel Price list'!#REF!</definedName>
    <definedName name="bts_ind900">'[5]Alcatel Price list'!#REF!</definedName>
    <definedName name="bts_ind900_1800" localSheetId="2">'[4]Alcatel Price list'!#REF!</definedName>
    <definedName name="bts_ind900_1800" localSheetId="0">'[4]Alcatel Price list'!#REF!</definedName>
    <definedName name="bts_ind900_1800" localSheetId="1">'[4]Alcatel Price list'!#REF!</definedName>
    <definedName name="bts_ind900_1800">'[5]Alcatel Price list'!#REF!</definedName>
    <definedName name="bts_micro_ext">#REF!</definedName>
    <definedName name="bts_out">#REF!</definedName>
    <definedName name="bts_out_ext" localSheetId="2">'[2]BTS Outdoor Extension'!#REF!</definedName>
    <definedName name="bts_out_ext" localSheetId="0">'[2]BTS Outdoor Extension'!#REF!</definedName>
    <definedName name="bts_out_ext" localSheetId="1">'[2]BTS Outdoor Extension'!#REF!</definedName>
    <definedName name="bts_out_ext">'[3]BTS Outdoor Extension'!#REF!</definedName>
    <definedName name="bts_out_sect" localSheetId="2">'[2]BTS Outdoor Extension'!#REF!</definedName>
    <definedName name="bts_out_sect" localSheetId="0">'[2]BTS Outdoor Extension'!#REF!</definedName>
    <definedName name="bts_out_sect" localSheetId="1">'[2]BTS Outdoor Extension'!#REF!</definedName>
    <definedName name="bts_out_sect">'[3]BTS Outdoor Extension'!#REF!</definedName>
    <definedName name="bts_out1800" localSheetId="2">'[2]BTS outdoor'!#REF!</definedName>
    <definedName name="bts_out1800" localSheetId="0">'[2]BTS outdoor'!#REF!</definedName>
    <definedName name="bts_out1800" localSheetId="1">'[2]BTS outdoor'!#REF!</definedName>
    <definedName name="bts_out1800">'[3]BTS outdoor'!#REF!</definedName>
    <definedName name="bts_out900" localSheetId="2">'[2]BTS outdoor'!#REF!</definedName>
    <definedName name="bts_out900" localSheetId="0">'[2]BTS outdoor'!#REF!</definedName>
    <definedName name="bts_out900" localSheetId="1">'[2]BTS outdoor'!#REF!</definedName>
    <definedName name="bts_out900">'[3]BTS outdoor'!#REF!</definedName>
    <definedName name="bts_out900_1800" localSheetId="2">'[2]BTS outdoor'!#REF!</definedName>
    <definedName name="bts_out900_1800" localSheetId="0">'[2]BTS outdoor'!#REF!</definedName>
    <definedName name="bts_out900_1800" localSheetId="1">'[2]BTS outdoor'!#REF!</definedName>
    <definedName name="bts_out900_1800">'[3]BTS outdoor'!#REF!</definedName>
    <definedName name="bts_sect">#REF!</definedName>
    <definedName name="btsm_ind" localSheetId="2">'[4]Alcatel Price list'!#REF!</definedName>
    <definedName name="btsm_ind" localSheetId="0">'[4]Alcatel Price list'!#REF!</definedName>
    <definedName name="btsm_ind" localSheetId="1">'[4]Alcatel Price list'!#REF!</definedName>
    <definedName name="btsm_ind">'[5]Alcatel Price list'!#REF!</definedName>
    <definedName name="btsm_ind1800" localSheetId="2">'[4]Alcatel Price list'!#REF!</definedName>
    <definedName name="btsm_ind1800" localSheetId="0">'[4]Alcatel Price list'!#REF!</definedName>
    <definedName name="btsm_ind1800" localSheetId="1">'[4]Alcatel Price list'!#REF!</definedName>
    <definedName name="btsm_ind1800">'[5]Alcatel Price list'!#REF!</definedName>
    <definedName name="btsm_ind900" localSheetId="2">'[4]Alcatel Price list'!#REF!</definedName>
    <definedName name="btsm_ind900" localSheetId="0">'[4]Alcatel Price list'!#REF!</definedName>
    <definedName name="btsm_ind900" localSheetId="1">'[4]Alcatel Price list'!#REF!</definedName>
    <definedName name="btsm_ind900">'[5]Alcatel Price list'!#REF!</definedName>
    <definedName name="BUD_ADM">#REF!</definedName>
    <definedName name="BUD_BS">#REF!</definedName>
    <definedName name="BUD_CAPEX">#REF!</definedName>
    <definedName name="BUD_CON">#REF!</definedName>
    <definedName name="BUD_INTERNET_1">#REF!</definedName>
    <definedName name="BUD_INTERNET_2">#REF!</definedName>
    <definedName name="BUD_RETENTION">#REF!</definedName>
    <definedName name="BUD_REV">#REF!</definedName>
    <definedName name="BUD_SACs">#REF!</definedName>
    <definedName name="BUD_SACs_UNIT">#REF!</definedName>
    <definedName name="BUD_SDCML">#REF!</definedName>
    <definedName name="BUDGET_1996">[1]Index!$Q$1:$AD$29,[1]Index!$Q$32:$AD$60</definedName>
    <definedName name="coef">#REF!</definedName>
    <definedName name="company">'[1]Set-up'!$D$12</definedName>
    <definedName name="container">#REF!</definedName>
    <definedName name="cout_kit_BTS_std1.25_S44">#REF!</definedName>
    <definedName name="cout_kit_BTS_std1.25_S444">#REF!</definedName>
    <definedName name="crane_pc">#REF!</definedName>
    <definedName name="curr">[6]parameter!$D$12</definedName>
    <definedName name="cx_bsc_omc">#REF!</definedName>
    <definedName name="cy">[6]parameter!$D$10</definedName>
    <definedName name="dd" localSheetId="2">[7]balancesheet!$C$3:$V$30</definedName>
    <definedName name="dd" localSheetId="0">[7]balancesheet!$C$3:$V$30</definedName>
    <definedName name="dd" localSheetId="1">[7]balancesheet!$C$3:$V$30</definedName>
    <definedName name="dd">[8]balancesheet!$C$3:$V$30</definedName>
    <definedName name="DDU">#REF!</definedName>
    <definedName name="de" localSheetId="2">[9]Summ1!$G$5</definedName>
    <definedName name="de" localSheetId="0">[9]Summ1!$G$5</definedName>
    <definedName name="de" localSheetId="1">[9]Summ1!$G$5</definedName>
    <definedName name="de">[10]Summ1!$G$5</definedName>
    <definedName name="dfgh" localSheetId="2">[2]Spares!#REF!</definedName>
    <definedName name="dfgh" localSheetId="0">[2]Spares!#REF!</definedName>
    <definedName name="dfgh" localSheetId="1">[2]Spares!#REF!</definedName>
    <definedName name="dfgh">[3]Spares!#REF!</definedName>
    <definedName name="documentation" localSheetId="2">[2]documentation!#REF!</definedName>
    <definedName name="documentation" localSheetId="0">[2]documentation!#REF!</definedName>
    <definedName name="documentation" localSheetId="1">[2]documentation!#REF!</definedName>
    <definedName name="documentation">[3]documentation!#REF!</definedName>
    <definedName name="dol" localSheetId="2">[11]Summ1!$G$2</definedName>
    <definedName name="dol" localSheetId="0">[11]Summ1!$G$2</definedName>
    <definedName name="dol" localSheetId="1">[11]Summ1!$G$2</definedName>
    <definedName name="dol">[12]Summ1!$G$2</definedName>
    <definedName name="Dollar">#REF!</definedName>
    <definedName name="dollars">#REF!</definedName>
    <definedName name="dotprov98">[1]bilan1298!#REF!</definedName>
    <definedName name="e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efr">#REF!</definedName>
    <definedName name="EGP">#REF!</definedName>
    <definedName name="Essai">[1]resulprep!$H$5:$I$171</definedName>
    <definedName name="euro">#REF!</definedName>
    <definedName name="expert" localSheetId="2">[2]expert!#REF!</definedName>
    <definedName name="expert" localSheetId="0">[2]expert!#REF!</definedName>
    <definedName name="expert" localSheetId="1">[2]expert!#REF!</definedName>
    <definedName name="expert">[3]expert!#REF!</definedName>
    <definedName name="ext_cell">#REF!</definedName>
    <definedName name="f" localSheetId="2" hidden="1">{"COST",#N/A,FALSE,"SYNTHESE";"MARGIN",#N/A,FALSE,"SYNTHESE";"LOT_COM",#N/A,FALSE,"SYNTHESE"}</definedName>
    <definedName name="f" localSheetId="0" hidden="1">{"COST",#N/A,FALSE,"SYNTHESE";"MARGIN",#N/A,FALSE,"SYNTHESE";"LOT_COM",#N/A,FALSE,"SYNTHESE"}</definedName>
    <definedName name="f" localSheetId="1" hidden="1">{"COST",#N/A,FALSE,"SYNTHESE";"MARGIN",#N/A,FALSE,"SYNTHESE";"LOT_COM",#N/A,FALSE,"SYNTHESE"}</definedName>
    <definedName name="f" hidden="1">{"COST",#N/A,FALSE,"SYNTHESE";"MARGIN",#N/A,FALSE,"SYNTHESE";"LOT_COM",#N/A,FALSE,"SYNTHESE"}</definedName>
    <definedName name="fe" localSheetId="2">[9]Summ1!$G$6</definedName>
    <definedName name="fe" localSheetId="0">[9]Summ1!$G$6</definedName>
    <definedName name="fe" localSheetId="1">[9]Summ1!$G$6</definedName>
    <definedName name="fe">[10]Summ1!$G$6</definedName>
    <definedName name="feeder">#REF!</definedName>
    <definedName name="Ffdra">[1]XTAB8!#REF!</definedName>
    <definedName name="Ffdrb">[1]XTAB8!#REF!</definedName>
    <definedName name="Ffdrc">[1]XTAB8!#REF!</definedName>
    <definedName name="Ffdrd">[1]XTAB8!#REF!</definedName>
    <definedName name="Ffdre">[1]XTAB8!#REF!</definedName>
    <definedName name="Ffdrf">[1]XTAB8!#REF!</definedName>
    <definedName name="fh" localSheetId="2" hidden="1">{"COST",#N/A,FALSE,"SYNTHESE";"MARGIN",#N/A,FALSE,"SYNTHESE";"LOT_COM",#N/A,FALSE,"SYNTHESE"}</definedName>
    <definedName name="fh" localSheetId="0" hidden="1">{"COST",#N/A,FALSE,"SYNTHESE";"MARGIN",#N/A,FALSE,"SYNTHESE";"LOT_COM",#N/A,FALSE,"SYNTHESE"}</definedName>
    <definedName name="fh" localSheetId="1" hidden="1">{"COST",#N/A,FALSE,"SYNTHESE";"MARGIN",#N/A,FALSE,"SYNTHESE";"LOT_COM",#N/A,FALSE,"SYNTHESE"}</definedName>
    <definedName name="fh" hidden="1">{"COST",#N/A,FALSE,"SYNTHESE";"MARGIN",#N/A,FALSE,"SYNTHESE";"LOT_COM",#N/A,FALSE,"SYNTHESE"}</definedName>
    <definedName name="ForeignPart">#REF!</definedName>
    <definedName name="FRBG">#REF!</definedName>
    <definedName name="french_mp">#REF!</definedName>
    <definedName name="french_mp_extra">#REF!</definedName>
    <definedName name="fumo">#REF!</definedName>
    <definedName name="fumo_hw" localSheetId="2">'[2]BTS Additional equipment'!#REF!</definedName>
    <definedName name="fumo_hw" localSheetId="0">'[2]BTS Additional equipment'!#REF!</definedName>
    <definedName name="fumo_hw" localSheetId="1">'[2]BTS Additional equipment'!#REF!</definedName>
    <definedName name="fumo_hw">'[3]BTS Additional equipment'!#REF!</definedName>
    <definedName name="fumo_ser">#REF!</definedName>
    <definedName name="fumo_services" localSheetId="2">'[2]BTS Additional equipment'!#REF!</definedName>
    <definedName name="fumo_services" localSheetId="0">'[2]BTS Additional equipment'!#REF!</definedName>
    <definedName name="fumo_services" localSheetId="1">'[2]BTS Additional equipment'!#REF!</definedName>
    <definedName name="fumo_services">'[3]BTS Additional equipment'!#REF!</definedName>
    <definedName name="GPRS_LAUNCH">#REF!</definedName>
    <definedName name="GPRS_SER">#REF!</definedName>
    <definedName name="hg" localSheetId="2" hidden="1">{"COST",#N/A,FALSE,"SYNTHESE";"MARGIN",#N/A,FALSE,"SYNTHESE";"LOT_COM",#N/A,FALSE,"SYNTHESE"}</definedName>
    <definedName name="hg" localSheetId="0" hidden="1">{"COST",#N/A,FALSE,"SYNTHESE";"MARGIN",#N/A,FALSE,"SYNTHESE";"LOT_COM",#N/A,FALSE,"SYNTHESE"}</definedName>
    <definedName name="hg" localSheetId="1" hidden="1">{"COST",#N/A,FALSE,"SYNTHESE";"MARGIN",#N/A,FALSE,"SYNTHESE";"LOT_COM",#N/A,FALSE,"SYNTHESE"}</definedName>
    <definedName name="hg" hidden="1">{"COST",#N/A,FALSE,"SYNTHESE";"MARGIN",#N/A,FALSE,"SYNTHESE";"LOT_COM",#N/A,FALSE,"SYNTHESE"}</definedName>
    <definedName name="hjkjk" localSheetId="2" hidden="1">{"COST",#N/A,FALSE,"SYNTHESE";"MARGIN",#N/A,FALSE,"SYNTHESE";"LOT_COM",#N/A,FALSE,"SYNTHESE"}</definedName>
    <definedName name="hjkjk" localSheetId="0" hidden="1">{"COST",#N/A,FALSE,"SYNTHESE";"MARGIN",#N/A,FALSE,"SYNTHESE";"LOT_COM",#N/A,FALSE,"SYNTHESE"}</definedName>
    <definedName name="hjkjk" localSheetId="1" hidden="1">{"COST",#N/A,FALSE,"SYNTHESE";"MARGIN",#N/A,FALSE,"SYNTHESE";"LOT_COM",#N/A,FALSE,"SYNTHESE"}</definedName>
    <definedName name="hjkjk" hidden="1">{"COST",#N/A,FALSE,"SYNTHESE";"MARGIN",#N/A,FALSE,"SYNTHESE";"LOT_COM",#N/A,FALSE,"SYNTHESE"}</definedName>
    <definedName name="hmi">#REF!</definedName>
    <definedName name="imp_part_int">[1]Index!$AG$1:$AT$29,[1]Index!$AG$32:$AT$60</definedName>
    <definedName name="inst_com" localSheetId="2">'[2]Installation &amp; Commissioning'!#REF!</definedName>
    <definedName name="inst_com" localSheetId="0">'[2]Installation &amp; Commissioning'!#REF!</definedName>
    <definedName name="inst_com" localSheetId="1">'[2]Installation &amp; Commissioning'!#REF!</definedName>
    <definedName name="inst_com">'[3]Installation &amp; Commissioning'!#REF!</definedName>
    <definedName name="InstalKit" localSheetId="2">'[2]Re-Installation'!#REF!</definedName>
    <definedName name="InstalKit" localSheetId="0">'[2]Re-Installation'!#REF!</definedName>
    <definedName name="InstalKit" localSheetId="1">'[2]Re-Installation'!#REF!</definedName>
    <definedName name="InstalKit">'[3]Re-Installation'!#REF!</definedName>
    <definedName name="inter" localSheetId="2">[13]setup!$J$11</definedName>
    <definedName name="inter" localSheetId="0">[13]setup!$J$11</definedName>
    <definedName name="inter" localSheetId="1">[13]setup!$J$11</definedName>
    <definedName name="inter">[14]setup!$J$11</definedName>
    <definedName name="interetafrik98">[1]bilan1298!#REF!</definedName>
    <definedName name="j" localSheetId="2">#REF!</definedName>
    <definedName name="j" localSheetId="0">#REF!</definedName>
    <definedName name="j" localSheetId="1">#REF!</definedName>
    <definedName name="j">#REF!</definedName>
    <definedName name="j170j" localSheetId="2">#REF!</definedName>
    <definedName name="j170j" localSheetId="0">#REF!</definedName>
    <definedName name="j170j" localSheetId="1">#REF!</definedName>
    <definedName name="j170j">#REF!</definedName>
    <definedName name="jkhykj">'[5]Alcatel Price list'!#REF!</definedName>
    <definedName name="K_DM">[15]Coef!$G$7</definedName>
    <definedName name="k_log_loc">#REF!</definedName>
    <definedName name="kjk" localSheetId="2" hidden="1">{"COST",#N/A,FALSE,"SYNTHESE";"MARGIN",#N/A,FALSE,"SYNTHESE";"LOT_COM",#N/A,FALSE,"SYNTHESE"}</definedName>
    <definedName name="kjk" localSheetId="0" hidden="1">{"COST",#N/A,FALSE,"SYNTHESE";"MARGIN",#N/A,FALSE,"SYNTHESE";"LOT_COM",#N/A,FALSE,"SYNTHESE"}</definedName>
    <definedName name="kjk" localSheetId="1" hidden="1">{"COST",#N/A,FALSE,"SYNTHESE";"MARGIN",#N/A,FALSE,"SYNTHESE";"LOT_COM",#N/A,FALSE,"SYNTHESE"}</definedName>
    <definedName name="kjk" hidden="1">{"COST",#N/A,FALSE,"SYNTHESE";"MARGIN",#N/A,FALSE,"SYNTHESE";"LOT_COM",#N/A,FALSE,"SYNTHESE"}</definedName>
    <definedName name="kl">#REF!</definedName>
    <definedName name="LE">#REF!</definedName>
    <definedName name="LGR_HOST_B5">#REF!</definedName>
    <definedName name="loc_mp">#REF!</definedName>
    <definedName name="LocalPart">#REF!</definedName>
    <definedName name="LRG_HOST_B6" localSheetId="2">[2]OMC_R!#REF!</definedName>
    <definedName name="LRG_HOST_B6" localSheetId="0">[2]OMC_R!#REF!</definedName>
    <definedName name="LRG_HOST_B6" localSheetId="1">[2]OMC_R!#REF!</definedName>
    <definedName name="LRG_HOST_B6">[3]OMC_R!#REF!</definedName>
    <definedName name="LRG_HOST_B7">#REF!</definedName>
    <definedName name="m_bts">#REF!</definedName>
    <definedName name="mensu_prov_div_filiales">[1]Index!$A$1:$N$30,[1]Index!$A$32:$N$60</definedName>
    <definedName name="mensuel">'[1]Total Balance Sheet'!#REF!</definedName>
    <definedName name="mfs" localSheetId="2">[2]GPRS!#REF!</definedName>
    <definedName name="mfs" localSheetId="0">[2]GPRS!#REF!</definedName>
    <definedName name="mfs" localSheetId="1">[2]GPRS!#REF!</definedName>
    <definedName name="mfs">[3]GPRS!#REF!</definedName>
    <definedName name="micro_bts" localSheetId="2">'[2] Micro BTS'!#REF!</definedName>
    <definedName name="micro_bts" localSheetId="0">'[2] Micro BTS'!#REF!</definedName>
    <definedName name="micro_bts" localSheetId="1">'[2] Micro BTS'!#REF!</definedName>
    <definedName name="micro_bts">'[3] Micro BTS'!#REF!</definedName>
    <definedName name="micro_bts_ext" localSheetId="2">'[2] Micro BTS'!#REF!</definedName>
    <definedName name="micro_bts_ext" localSheetId="0">'[2] Micro BTS'!#REF!</definedName>
    <definedName name="micro_bts_ext" localSheetId="1">'[2] Micro BTS'!#REF!</definedName>
    <definedName name="micro_bts_ext">'[3] Micro BTS'!#REF!</definedName>
    <definedName name="micro_ext">#REF!</definedName>
    <definedName name="mof">#REF!</definedName>
    <definedName name="mois" localSheetId="2">[13]setup!$T$10</definedName>
    <definedName name="mois" localSheetId="0">[13]setup!$T$10</definedName>
    <definedName name="mois" localSheetId="1">[13]setup!$T$10</definedName>
    <definedName name="mois">[14]setup!$T$10</definedName>
    <definedName name="mol">#REF!</definedName>
    <definedName name="MONTH">'[16]cover page'!$D$4</definedName>
    <definedName name="monthname">'[1]Set-up'!$D$18</definedName>
    <definedName name="Moussa">'[1]Set-up'!$D$12</definedName>
    <definedName name="nbc">#REF!</definedName>
    <definedName name="NewBridge_concent">#REF!</definedName>
    <definedName name="npa_hw">#REF!</definedName>
    <definedName name="npa_sw">#REF!</definedName>
    <definedName name="omc_r">#REF!</definedName>
    <definedName name="omc_r5">#REF!</definedName>
    <definedName name="omc_r6">#REF!</definedName>
    <definedName name="omcb6">#REF!</definedName>
    <definedName name="_xlnm.Print_Titles" localSheetId="2">'Projects EGP'!#REF!</definedName>
    <definedName name="_xlnm.Print_Titles" localSheetId="0">'Projects Euro'!#REF!</definedName>
    <definedName name="_xlnm.Print_Titles" localSheetId="1">'Projects USD'!#REF!</definedName>
    <definedName name="prix_kit_BTS_std1.25_S44">#REF!</definedName>
    <definedName name="prix_kit_BTS_std1.25_S444">#REF!</definedName>
    <definedName name="proj_mgt">#REF!</definedName>
    <definedName name="prov_div_fil">[1]Index!$A$1:$N$29,[1]Index!$A$32:$N$60</definedName>
    <definedName name="ps" localSheetId="2">'[2]Power supply'!#REF!</definedName>
    <definedName name="ps" localSheetId="0">'[2]Power supply'!#REF!</definedName>
    <definedName name="ps" localSheetId="1">'[2]Power supply'!#REF!</definedName>
    <definedName name="ps">'[3]Power supply'!#REF!</definedName>
    <definedName name="ps_bsc">#REF!</definedName>
    <definedName name="ps_bts">#REF!</definedName>
    <definedName name="ps_prot" localSheetId="2">'[2]Power supply'!#REF!</definedName>
    <definedName name="ps_prot" localSheetId="0">'[2]Power supply'!#REF!</definedName>
    <definedName name="ps_prot" localSheetId="1">'[2]Power supply'!#REF!</definedName>
    <definedName name="ps_prot">'[3]Power supply'!#REF!</definedName>
    <definedName name="rateBDA01">[17]Forecast!$C$22</definedName>
    <definedName name="RateBud">[17]economic!$K$19</definedName>
    <definedName name="RatePFA">[17]Forecast!$C$19</definedName>
    <definedName name="REBRAND_CAL">#REF!</definedName>
    <definedName name="Rebrand_calendar">#REF!</definedName>
    <definedName name="REBRAND_RES">#REF!</definedName>
    <definedName name="reduction">#REF!</definedName>
    <definedName name="reinstal">#REF!</definedName>
    <definedName name="reinstal_services" localSheetId="2">'[2]Re-Installation'!#REF!</definedName>
    <definedName name="reinstal_services" localSheetId="0">'[2]Re-Installation'!#REF!</definedName>
    <definedName name="reinstal_services" localSheetId="1">'[2]Re-Installation'!#REF!</definedName>
    <definedName name="reinstal_services">'[3]Re-Installation'!#REF!</definedName>
    <definedName name="rek" localSheetId="2">'[2]BTS Additional equipment'!#REF!</definedName>
    <definedName name="rek" localSheetId="0">'[2]BTS Additional equipment'!#REF!</definedName>
    <definedName name="rek" localSheetId="1">'[2]BTS Additional equipment'!#REF!</definedName>
    <definedName name="rek">'[3]BTS Additional equipment'!#REF!</definedName>
    <definedName name="removal" localSheetId="2">[2]Dismantling!#REF!</definedName>
    <definedName name="removal" localSheetId="0">[2]Dismantling!#REF!</definedName>
    <definedName name="removal" localSheetId="1">[2]Dismantling!#REF!</definedName>
    <definedName name="removal">[3]Dismantling!#REF!</definedName>
    <definedName name="resul1">[1]resulprep!$F$5:$G$171</definedName>
    <definedName name="resultcapex">'[1]slide(Revenue &amp; EBITDA)'!#REF!</definedName>
    <definedName name="rfdra">[1]XTAB8!#REF!</definedName>
    <definedName name="rfdrb">[1]XTAB8!#REF!</definedName>
    <definedName name="rfdrc">[1]XTAB8!#REF!</definedName>
    <definedName name="rfdrd">[1]XTAB8!#REF!</definedName>
    <definedName name="rfdre">[1]XTAB8!#REF!</definedName>
    <definedName name="rfdrf">[1]XTAB8!#REF!</definedName>
    <definedName name="rno_hw">#REF!</definedName>
    <definedName name="rno_sw">#REF!</definedName>
    <definedName name="service">#REF!</definedName>
    <definedName name="shift">'[1]Set-up'!$D$20</definedName>
    <definedName name="site_crane">#REF!</definedName>
    <definedName name="site_survey">#REF!</definedName>
    <definedName name="solde_financier">[1]Index!$Q$1:$AD$29,[1]Index!$Q$32:$AD$60</definedName>
    <definedName name="sp_omc">#REF!</definedName>
    <definedName name="spare_bsc" localSheetId="2">[2]Spares!#REF!</definedName>
    <definedName name="spare_bsc" localSheetId="0">[2]Spares!#REF!</definedName>
    <definedName name="spare_bsc" localSheetId="1">[2]Spares!#REF!</definedName>
    <definedName name="spare_bsc">[3]Spares!#REF!</definedName>
    <definedName name="spare_bts" localSheetId="2">[2]Spares!#REF!</definedName>
    <definedName name="spare_bts" localSheetId="0">[2]Spares!#REF!</definedName>
    <definedName name="spare_bts" localSheetId="1">[2]Spares!#REF!</definedName>
    <definedName name="spare_bts">[3]Spares!#REF!</definedName>
    <definedName name="spare_bts_G2" localSheetId="2">[2]Spares!#REF!</definedName>
    <definedName name="spare_bts_G2" localSheetId="0">[2]Spares!#REF!</definedName>
    <definedName name="spare_bts_G2" localSheetId="1">[2]Spares!#REF!</definedName>
    <definedName name="spare_bts_G2">[3]Spares!#REF!</definedName>
    <definedName name="spare_micro" localSheetId="2">[2]Spares!#REF!</definedName>
    <definedName name="spare_micro" localSheetId="0">[2]Spares!#REF!</definedName>
    <definedName name="spare_micro" localSheetId="1">[2]Spares!#REF!</definedName>
    <definedName name="spare_micro">[3]Spares!#REF!</definedName>
    <definedName name="spare_omcr" localSheetId="2">[2]Spares!#REF!</definedName>
    <definedName name="spare_omcr" localSheetId="0">[2]Spares!#REF!</definedName>
    <definedName name="spare_omcr" localSheetId="1">[2]Spares!#REF!</definedName>
    <definedName name="spare_omcr">[3]Spares!#REF!</definedName>
    <definedName name="spare_ps" localSheetId="2">[2]Spares!#REF!</definedName>
    <definedName name="spare_ps" localSheetId="0">[2]Spares!#REF!</definedName>
    <definedName name="spare_ps" localSheetId="1">[2]Spares!#REF!</definedName>
    <definedName name="spare_ps">[3]Spares!#REF!</definedName>
    <definedName name="STD_HMI_B5">#REF!</definedName>
    <definedName name="STD_HMI_B6" localSheetId="2">[2]OMC_R!#REF!</definedName>
    <definedName name="STD_HMI_B6" localSheetId="0">[2]OMC_R!#REF!</definedName>
    <definedName name="STD_HMI_B6" localSheetId="1">[2]OMC_R!#REF!</definedName>
    <definedName name="STD_HMI_B6">[3]OMC_R!#REF!</definedName>
    <definedName name="STD_HMI_B7">#REF!</definedName>
    <definedName name="sw_bsc">#REF!</definedName>
    <definedName name="sw_initial" localSheetId="2">[2]software!#REF!</definedName>
    <definedName name="sw_initial" localSheetId="0">[2]software!#REF!</definedName>
    <definedName name="sw_initial" localSheetId="1">[2]software!#REF!</definedName>
    <definedName name="sw_initial">[3]software!#REF!</definedName>
    <definedName name="sw_mico_bts">#REF!</definedName>
    <definedName name="sw_micro">#REF!</definedName>
    <definedName name="sw_npa">#REF!</definedName>
    <definedName name="sw_omc">#REF!</definedName>
    <definedName name="sw_omcr">#REF!</definedName>
    <definedName name="sw_omcr_A1353">#REF!</definedName>
    <definedName name="sw_option" localSheetId="2">[2]software!#REF!</definedName>
    <definedName name="sw_option" localSheetId="0">[2]software!#REF!</definedName>
    <definedName name="sw_option" localSheetId="1">[2]software!#REF!</definedName>
    <definedName name="sw_option">[3]software!#REF!</definedName>
    <definedName name="sw_rno">#REF!</definedName>
    <definedName name="SYNER_B2B">#REF!</definedName>
    <definedName name="SYNER_CRM">#REF!</definedName>
    <definedName name="SYNER_GPS_DEADLINE">#REF!</definedName>
    <definedName name="SYNER_GPS_OBJ">#REF!</definedName>
    <definedName name="SYNER_TECH">#REF!</definedName>
    <definedName name="tableau">'[1]#REF'!$A$3:$O$42</definedName>
    <definedName name="tc_sm" localSheetId="2">[2]BSC_TC!#REF!</definedName>
    <definedName name="tc_sm" localSheetId="0">[2]BSC_TC!#REF!</definedName>
    <definedName name="tc_sm" localSheetId="1">[2]BSC_TC!#REF!</definedName>
    <definedName name="tc_sm">[3]BSC_TC!#REF!</definedName>
    <definedName name="test_bed">#REF!</definedName>
    <definedName name="testbed">#REF!</definedName>
    <definedName name="THS">#REF!</definedName>
    <definedName name="Tool_pack">#REF!</definedName>
    <definedName name="tools">#REF!</definedName>
    <definedName name="TOTAL1">#REF!</definedName>
    <definedName name="TOTAL2">#REF!</definedName>
    <definedName name="TOTAL3">#REF!</definedName>
    <definedName name="TOTAL4">#REF!</definedName>
    <definedName name="training" localSheetId="2">[2]training!#REF!</definedName>
    <definedName name="training" localSheetId="0">[2]training!#REF!</definedName>
    <definedName name="training" localSheetId="1">[2]training!#REF!</definedName>
    <definedName name="training">[3]training!#REF!</definedName>
    <definedName name="TVA">'[1]#REF'!$C$29</definedName>
    <definedName name="up_md_lg">#REF!</definedName>
    <definedName name="upgrade">#REF!</definedName>
    <definedName name="UPGRD_B5_B6" localSheetId="2">[2]OMC_R!#REF!</definedName>
    <definedName name="UPGRD_B5_B6" localSheetId="0">[2]OMC_R!#REF!</definedName>
    <definedName name="UPGRD_B5_B6" localSheetId="1">[2]OMC_R!#REF!</definedName>
    <definedName name="UPGRD_B5_B6">[3]OMC_R!#REF!</definedName>
    <definedName name="ur">#REF!</definedName>
    <definedName name="w" localSheetId="2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localSheetId="0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localSheetId="1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orkStation">#REF!</definedName>
    <definedName name="wrn.BOQ22MAI." localSheetId="2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localSheetId="0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localSheetId="1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OQ22MAI." hidden="1">{#N/A,#N/A,FALSE,"GRAND TOTAL PRICE";#N/A,#N/A,FALSE,"SUMM_DISC";#N/A,#N/A,FALSE,"SUMM_BASE";#N/A,#N/A,FALSE,"NSS FORM 1 SITE N°1";#N/A,#N/A,FALSE,"NSS FORM 1 SITE N°2";#N/A,#N/A,FALSE,"NSS FORM 2 SITE N°1";#N/A,#N/A,FALSE,"NSS FORM 2 SITE N°2";#N/A,#N/A,FALSE,"NSS FORM 3 SITE N°1";#N/A,#N/A,FALSE,"NSS FORM 3 SITE N°2";#N/A,#N/A,FALSE,"NSS FORM 4 SITE N°1";#N/A,#N/A,FALSE,"NSS FORM 4 SITE N°2";#N/A,#N/A,FALSE,"NSS FORM 5 SITE N°1";#N/A,#N/A,FALSE,"NSS FORM 5 SITE N°2";#N/A,#N/A,FALSE,"NSS FORM 6 SITE N°1";#N/A,#N/A,FALSE,"NSS FORM 6 SITE N°2";#N/A,#N/A,FALSE,"NSS FORM 7 OMC-NSS";#N/A,#N/A,FALSE,"FORM 8 SMSC";#N/A,#N/A,FALSE,"FORM 9 VM"}</definedName>
    <definedName name="wrn.BSS." localSheetId="2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localSheetId="0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localSheetId="1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SS." hidden="1">{#N/A,#N/A,TRUE,"Discount";#N/A,#N/A,TRUE,"Sommaire";#N/A,#N/A,TRUE,"Services";#N/A,#N/A,TRUE,"RNP";#N/A,#N/A,TRUE,"Support";#N/A,#N/A,TRUE,"BSS";#N/A,#N/A,TRUE,"BTS";#N/A,#N/A,TRUE,"BSC";#N/A,#N/A,TRUE,"BSC1";#N/A,#N/A,TRUE,"TRANSCODER";#N/A,#N/A,TRUE,"OMC-R";#N/A,#N/A,TRUE,"MW";#N/A,#N/A,TRUE,"DIESEL";#N/A,#N/A,TRUE,"TOWERS";#N/A,#N/A,TRUE,"ANTENNAS";#N/A,#N/A,TRUE,"SHELTERS";#N/A,#N/A,TRUE,"SPARES";#N/A,#N/A,TRUE,"SP_item";#N/A,#N/A,TRUE,"TOOLS";#N/A,#N/A,TRUE,"DOC";#N/A,#N/A,TRUE,"Mobile"}</definedName>
    <definedName name="wrn.BTS." localSheetId="2" hidden="1">{#N/A,#N/A,TRUE,"Config1";#N/A,#N/A,TRUE,"Config2";#N/A,#N/A,TRUE,"Config3";#N/A,#N/A,TRUE,"Config4";#N/A,#N/A,TRUE,"Config5";#N/A,#N/A,TRUE,"Config6";#N/A,#N/A,TRUE,"Config7"}</definedName>
    <definedName name="wrn.BTS." localSheetId="0" hidden="1">{#N/A,#N/A,TRUE,"Config1";#N/A,#N/A,TRUE,"Config2";#N/A,#N/A,TRUE,"Config3";#N/A,#N/A,TRUE,"Config4";#N/A,#N/A,TRUE,"Config5";#N/A,#N/A,TRUE,"Config6";#N/A,#N/A,TRUE,"Config7"}</definedName>
    <definedName name="wrn.BTS." localSheetId="1" hidden="1">{#N/A,#N/A,TRUE,"Config1";#N/A,#N/A,TRUE,"Config2";#N/A,#N/A,TRUE,"Config3";#N/A,#N/A,TRUE,"Config4";#N/A,#N/A,TRUE,"Config5";#N/A,#N/A,TRUE,"Config6";#N/A,#N/A,TRUE,"Config7"}</definedName>
    <definedName name="wrn.BTS." hidden="1">{#N/A,#N/A,TRUE,"Config1";#N/A,#N/A,TRUE,"Config2";#N/A,#N/A,TRUE,"Config3";#N/A,#N/A,TRUE,"Config4";#N/A,#N/A,TRUE,"Config5";#N/A,#N/A,TRUE,"Config6";#N/A,#N/A,TRUE,"Config7"}</definedName>
    <definedName name="wrn.DEV_SYNTHESE." localSheetId="2" hidden="1">{"COST",#N/A,FALSE,"SYNTHESE";"MARGIN",#N/A,FALSE,"SYNTHESE";"LOT_COM",#N/A,FALSE,"SYNTHESE"}</definedName>
    <definedName name="wrn.DEV_SYNTHESE." localSheetId="0" hidden="1">{"COST",#N/A,FALSE,"SYNTHESE";"MARGIN",#N/A,FALSE,"SYNTHESE";"LOT_COM",#N/A,FALSE,"SYNTHESE"}</definedName>
    <definedName name="wrn.DEV_SYNTHESE." localSheetId="1" hidden="1">{"COST",#N/A,FALSE,"SYNTHESE";"MARGIN",#N/A,FALSE,"SYNTHESE";"LOT_COM",#N/A,FALSE,"SYNTHESE"}</definedName>
    <definedName name="wrn.DEV_SYNTHESE." hidden="1">{"COST",#N/A,FALSE,"SYNTHESE";"MARGIN",#N/A,FALSE,"SYNTHESE";"LOT_COM",#N/A,FALSE,"SYNTHESE"}</definedName>
    <definedName name="x">#REF!</definedName>
    <definedName name="xq">[1]XTAB8!#REF!</definedName>
    <definedName name="xr">[1]XTAB8!#REF!</definedName>
    <definedName name="xt">[1]XTAB8!#REF!</definedName>
    <definedName name="xu">[1]XTAB8!#REF!</definedName>
    <definedName name="xv">[1]XTAB8!#REF!</definedName>
    <definedName name="xw">[1]XTAB8!#REF!</definedName>
    <definedName name="xx">[1]XTAB8!#REF!</definedName>
    <definedName name="xy">[1]XTAB8!#REF!</definedName>
    <definedName name="xz">[1]XTAB8!#REF!</definedName>
    <definedName name="year" localSheetId="2">[13]setup!$S$11</definedName>
    <definedName name="year" localSheetId="0">[13]setup!$S$11</definedName>
    <definedName name="year" localSheetId="1">[13]setup!$S$11</definedName>
    <definedName name="year">[14]setup!$S$11</definedName>
    <definedName name="Z_D5922FBA_8A23_4F37_BF14_B4827E02C2C5_.wvu.PrintArea" localSheetId="2" hidden="1">'Projects EGP'!#REF!</definedName>
    <definedName name="Z_D5922FBA_8A23_4F37_BF14_B4827E02C2C5_.wvu.PrintArea" localSheetId="0" hidden="1">'Projects Euro'!#REF!</definedName>
    <definedName name="Z_D5922FBA_8A23_4F37_BF14_B4827E02C2C5_.wvu.PrintArea" localSheetId="1" hidden="1">'Projects USD'!#REF!</definedName>
  </definedNames>
  <calcPr calcId="191029"/>
  <pivotCaches>
    <pivotCache cacheId="1" r:id="rId3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43" l="1"/>
  <c r="O10" i="54" l="1"/>
  <c r="N10" i="54"/>
  <c r="M10" i="54"/>
  <c r="L10" i="54"/>
  <c r="K10" i="54"/>
  <c r="J10" i="54"/>
  <c r="I10" i="54"/>
  <c r="H10" i="54"/>
  <c r="G10" i="54"/>
  <c r="F10" i="54"/>
  <c r="E10" i="54"/>
  <c r="D10" i="54"/>
  <c r="P5" i="54"/>
  <c r="P10" i="54" s="1"/>
  <c r="O10" i="41"/>
  <c r="N10" i="41"/>
  <c r="M10" i="41"/>
  <c r="L10" i="41"/>
  <c r="K10" i="41"/>
  <c r="J10" i="41"/>
  <c r="I10" i="41"/>
  <c r="H10" i="41"/>
  <c r="G10" i="41"/>
  <c r="F10" i="41"/>
  <c r="E10" i="41"/>
  <c r="D10" i="41"/>
  <c r="P5" i="41"/>
  <c r="P10" i="41" s="1"/>
  <c r="O10" i="42"/>
  <c r="N10" i="42"/>
  <c r="M10" i="42"/>
  <c r="L10" i="42"/>
  <c r="K10" i="42"/>
  <c r="J10" i="42"/>
  <c r="I10" i="42"/>
  <c r="H10" i="42"/>
  <c r="G10" i="42"/>
  <c r="F10" i="42"/>
  <c r="E10" i="42"/>
  <c r="D10" i="42"/>
  <c r="P5" i="42"/>
  <c r="P10" i="42" s="1"/>
  <c r="P5" i="43"/>
  <c r="P10" i="43" s="1"/>
  <c r="J31" i="67"/>
  <c r="J30" i="67"/>
  <c r="J27" i="67"/>
  <c r="J26" i="67"/>
  <c r="J24" i="67"/>
  <c r="J23" i="67"/>
  <c r="J22" i="67"/>
  <c r="J18" i="67"/>
  <c r="J16" i="67"/>
  <c r="J15" i="67"/>
  <c r="J14" i="67"/>
  <c r="J13" i="67"/>
  <c r="J12" i="67"/>
  <c r="J10" i="67"/>
  <c r="J9" i="67"/>
  <c r="J8" i="67"/>
  <c r="J7" i="67"/>
  <c r="J6" i="67"/>
  <c r="J5" i="67"/>
  <c r="J11" i="67" l="1"/>
  <c r="J17" i="67"/>
  <c r="J19" i="67"/>
  <c r="J20" i="67"/>
  <c r="J21" i="67"/>
  <c r="J25" i="67"/>
  <c r="J28" i="67"/>
  <c r="J29" i="67"/>
  <c r="B40" i="66" l="1"/>
  <c r="O10" i="43" l="1"/>
  <c r="N10" i="43"/>
  <c r="M10" i="43"/>
  <c r="L10" i="43"/>
  <c r="K10" i="43"/>
  <c r="J10" i="43"/>
  <c r="I10" i="43"/>
  <c r="H10" i="43"/>
  <c r="G10" i="43"/>
  <c r="F10" i="43"/>
  <c r="E10" i="43"/>
  <c r="D10" i="43"/>
  <c r="F45" i="65" l="1"/>
  <c r="F38" i="65"/>
  <c r="F39" i="65"/>
  <c r="F40" i="65"/>
  <c r="F41" i="65"/>
  <c r="F42" i="65"/>
  <c r="F43" i="65"/>
  <c r="F44" i="65"/>
  <c r="F46" i="65"/>
  <c r="F47" i="65"/>
  <c r="F48" i="65"/>
  <c r="F37" i="65"/>
  <c r="E49" i="65"/>
  <c r="F49" i="65" l="1"/>
  <c r="S5" i="42"/>
  <c r="S6" i="42"/>
  <c r="S7" i="42"/>
  <c r="S8" i="42"/>
  <c r="S9" i="42"/>
  <c r="S10" i="42"/>
  <c r="I30" i="65" l="1"/>
  <c r="I21" i="65"/>
  <c r="I22" i="65"/>
  <c r="I23" i="65"/>
  <c r="I24" i="65"/>
  <c r="I25" i="65"/>
  <c r="I26" i="65"/>
  <c r="I27" i="65"/>
  <c r="I28" i="65"/>
  <c r="I20" i="65"/>
  <c r="H29" i="65"/>
  <c r="H31" i="65" s="1"/>
  <c r="I29" i="65" l="1"/>
  <c r="I31" i="65" s="1"/>
  <c r="G30" i="65"/>
  <c r="G21" i="65"/>
  <c r="G22" i="65"/>
  <c r="G23" i="65"/>
  <c r="G24" i="65"/>
  <c r="G25" i="65"/>
  <c r="G26" i="65"/>
  <c r="G27" i="65"/>
  <c r="G28" i="65"/>
  <c r="G20" i="65"/>
  <c r="F29" i="65"/>
  <c r="F31" i="65" s="1"/>
  <c r="G29" i="65" l="1"/>
  <c r="E29" i="65"/>
  <c r="E31" i="65" s="1"/>
  <c r="G31" i="65" s="1"/>
  <c r="G35" i="64" l="1"/>
  <c r="F35" i="64"/>
  <c r="I25" i="64" l="1"/>
  <c r="I35" i="64" s="1"/>
  <c r="H35" i="64"/>
  <c r="S47" i="63" l="1"/>
  <c r="S48" i="63"/>
  <c r="S49" i="63"/>
  <c r="S50" i="63"/>
  <c r="S51" i="63"/>
  <c r="S52" i="63"/>
  <c r="S53" i="63"/>
  <c r="S54" i="63"/>
  <c r="S46" i="63"/>
  <c r="R55" i="63"/>
  <c r="K55" i="63"/>
  <c r="F55" i="63"/>
  <c r="E55" i="63"/>
  <c r="E33" i="63"/>
  <c r="F33" i="63"/>
  <c r="E34" i="63"/>
  <c r="F34" i="63"/>
  <c r="E35" i="63"/>
  <c r="F35" i="63"/>
  <c r="E36" i="63"/>
  <c r="F36" i="63"/>
  <c r="E37" i="63"/>
  <c r="F37" i="63"/>
  <c r="E38" i="63"/>
  <c r="F38" i="63"/>
  <c r="E39" i="63"/>
  <c r="F39" i="63"/>
  <c r="E40" i="63"/>
  <c r="F40" i="63"/>
  <c r="E41" i="63"/>
  <c r="F41" i="63"/>
  <c r="J7" i="64"/>
  <c r="J8" i="64"/>
  <c r="J9" i="64"/>
  <c r="J11" i="64"/>
  <c r="J13" i="64"/>
  <c r="J14" i="64"/>
  <c r="J15" i="64"/>
  <c r="I16" i="64"/>
  <c r="H10" i="64"/>
  <c r="H6" i="64"/>
  <c r="J6" i="64" s="1"/>
  <c r="H12" i="64"/>
  <c r="J12" i="64" s="1"/>
  <c r="S55" i="63" l="1"/>
  <c r="H16" i="64"/>
  <c r="J10" i="64"/>
  <c r="J16" i="64" s="1"/>
  <c r="G19" i="63"/>
  <c r="G20" i="63"/>
  <c r="G21" i="63"/>
  <c r="G22" i="63"/>
  <c r="G23" i="63"/>
  <c r="G24" i="63"/>
  <c r="G25" i="63"/>
  <c r="G26" i="63"/>
  <c r="G18" i="63"/>
  <c r="F27" i="63" l="1"/>
  <c r="F42" i="63" l="1"/>
  <c r="G6" i="63" l="1"/>
  <c r="G7" i="63"/>
  <c r="G8" i="63"/>
  <c r="G9" i="63"/>
  <c r="G10" i="63"/>
  <c r="G11" i="63"/>
  <c r="G12" i="63"/>
  <c r="G13" i="63"/>
  <c r="G5" i="63"/>
  <c r="F14" i="63"/>
  <c r="E14" i="63"/>
  <c r="G14" i="63" l="1"/>
  <c r="M14" i="62" l="1"/>
  <c r="E7" i="65" l="1"/>
  <c r="B10" i="3" l="1"/>
  <c r="B13" i="3"/>
  <c r="H2" i="43"/>
  <c r="E14" i="65" l="1"/>
  <c r="E5" i="65" l="1"/>
  <c r="E4" i="65"/>
  <c r="E11" i="65"/>
  <c r="E9" i="65"/>
  <c r="E12" i="65"/>
  <c r="E10" i="65"/>
  <c r="E8" i="65"/>
  <c r="E42" i="63" l="1"/>
  <c r="G27" i="63"/>
  <c r="E27" i="63"/>
  <c r="E6" i="65" l="1"/>
  <c r="E13" i="65" s="1"/>
  <c r="E15" i="65" s="1"/>
</calcChain>
</file>

<file path=xl/sharedStrings.xml><?xml version="1.0" encoding="utf-8"?>
<sst xmlns="http://schemas.openxmlformats.org/spreadsheetml/2006/main" count="352" uniqueCount="119">
  <si>
    <t>Total</t>
  </si>
  <si>
    <t>Currency</t>
  </si>
  <si>
    <t>USD Rate</t>
  </si>
  <si>
    <t>Euro Rate</t>
  </si>
  <si>
    <t>Average USD Rate</t>
  </si>
  <si>
    <t>Average Euro Rate</t>
  </si>
  <si>
    <t>The Egyptian Company for Mobile Services "mobinil"</t>
  </si>
  <si>
    <t>Finance, Operation Control, Financial Planning</t>
  </si>
  <si>
    <t>Monthly CAPEX Planning File</t>
  </si>
  <si>
    <t>IT</t>
  </si>
  <si>
    <t>ECMS Project code</t>
  </si>
  <si>
    <t>NEW Code</t>
  </si>
  <si>
    <t>NEW Description</t>
  </si>
  <si>
    <t>Total CAPEX</t>
  </si>
  <si>
    <t>OSS</t>
  </si>
  <si>
    <t>SKC</t>
  </si>
  <si>
    <t xml:space="preserve">Total </t>
  </si>
  <si>
    <t xml:space="preserve">Division </t>
  </si>
  <si>
    <t>*</t>
  </si>
  <si>
    <t>T</t>
  </si>
  <si>
    <t>-</t>
  </si>
  <si>
    <t xml:space="preserve">RAN </t>
  </si>
  <si>
    <t xml:space="preserve">Radio </t>
  </si>
  <si>
    <t xml:space="preserve">Deployment </t>
  </si>
  <si>
    <t xml:space="preserve">Core Engineering </t>
  </si>
  <si>
    <t xml:space="preserve">Energy </t>
  </si>
  <si>
    <t>Transmission</t>
  </si>
  <si>
    <t xml:space="preserve">Data Network </t>
  </si>
  <si>
    <t>Network operation &amp; support/cor/DN spares</t>
  </si>
  <si>
    <t xml:space="preserve">SKC </t>
  </si>
  <si>
    <t xml:space="preserve">QoS </t>
  </si>
  <si>
    <t>DG1</t>
  </si>
  <si>
    <t xml:space="preserve">Total Network </t>
  </si>
  <si>
    <t>B2B</t>
  </si>
  <si>
    <t>Category</t>
  </si>
  <si>
    <t>Reductions</t>
  </si>
  <si>
    <t>2019 reduced Capex</t>
  </si>
  <si>
    <t>2020 reduced Capex</t>
  </si>
  <si>
    <t xml:space="preserve">YOY % growth after reductions </t>
  </si>
  <si>
    <t>Network</t>
  </si>
  <si>
    <t>Digital</t>
  </si>
  <si>
    <t>Triple Play</t>
  </si>
  <si>
    <t>Non-Technical</t>
  </si>
  <si>
    <t>Capitalized Salaries</t>
  </si>
  <si>
    <t xml:space="preserve">Customs </t>
  </si>
  <si>
    <t>H1</t>
  </si>
  <si>
    <t>H2</t>
  </si>
  <si>
    <t xml:space="preserve">OSS/QoS/SKC </t>
  </si>
  <si>
    <t>Network operation &amp; support</t>
  </si>
  <si>
    <t xml:space="preserve">Jan-Budget </t>
  </si>
  <si>
    <t xml:space="preserve">Jan-Actual </t>
  </si>
  <si>
    <t xml:space="preserve">Variance </t>
  </si>
  <si>
    <t xml:space="preserve">Feb-Actual </t>
  </si>
  <si>
    <t xml:space="preserve">Feb-Budget </t>
  </si>
  <si>
    <t xml:space="preserve">YTD Feb-Actual </t>
  </si>
  <si>
    <t xml:space="preserve">YTD Feb-Budget </t>
  </si>
  <si>
    <t>Domain</t>
  </si>
  <si>
    <t xml:space="preserve">Approved Capex </t>
  </si>
  <si>
    <t>in mEGP</t>
  </si>
  <si>
    <t>(Euro = 17.5 Euro &amp; USD = 15.8)</t>
  </si>
  <si>
    <t>RAN</t>
  </si>
  <si>
    <t>Radio</t>
  </si>
  <si>
    <t>Deployment</t>
  </si>
  <si>
    <t>Energy</t>
  </si>
  <si>
    <t>DN</t>
  </si>
  <si>
    <t>Core</t>
  </si>
  <si>
    <t>Network OPS</t>
  </si>
  <si>
    <t>TSA (OSS &amp; QoS)</t>
  </si>
  <si>
    <t xml:space="preserve"> 47 </t>
  </si>
  <si>
    <t xml:space="preserve">March </t>
  </si>
  <si>
    <t xml:space="preserve">April </t>
  </si>
  <si>
    <t>May</t>
  </si>
  <si>
    <t xml:space="preserve">June </t>
  </si>
  <si>
    <t xml:space="preserve">July </t>
  </si>
  <si>
    <t xml:space="preserve">Aug </t>
  </si>
  <si>
    <t xml:space="preserve">Sep </t>
  </si>
  <si>
    <t>Oct</t>
  </si>
  <si>
    <t>Nov</t>
  </si>
  <si>
    <t>Dec</t>
  </si>
  <si>
    <t>Total H2</t>
  </si>
  <si>
    <t>Total H1</t>
  </si>
  <si>
    <t xml:space="preserve">2020 capex </t>
  </si>
  <si>
    <t>Capex after considering Group Cut + 2019 closure + Crashed rollout  + New rates</t>
  </si>
  <si>
    <t xml:space="preserve">Capex will be Submitted today </t>
  </si>
  <si>
    <t xml:space="preserve">Capex after considering Group cut + 2019 closure+ crashed rollout + new rates (17.5) 9th March </t>
  </si>
  <si>
    <t>Approved  capex 
(19.3 Euro)
Cut made by finance</t>
  </si>
  <si>
    <t xml:space="preserve"> project list shared internally</t>
  </si>
  <si>
    <t>Info-Sec</t>
  </si>
  <si>
    <t xml:space="preserve"> Grand Total Network </t>
  </si>
  <si>
    <t>Info Sec</t>
  </si>
  <si>
    <t xml:space="preserve">2021 Capex </t>
  </si>
  <si>
    <t>2021 Capex 
Old Rates</t>
  </si>
  <si>
    <t>2021 Capex 
New Rates</t>
  </si>
  <si>
    <t>**</t>
  </si>
  <si>
    <t xml:space="preserve">H1 2021 Capex </t>
  </si>
  <si>
    <t>Jan-Budget</t>
  </si>
  <si>
    <t>Jan-Actual</t>
  </si>
  <si>
    <t>Variance</t>
  </si>
  <si>
    <t>Type</t>
  </si>
  <si>
    <t>PO #</t>
  </si>
  <si>
    <t>Amount in EGP Including Customs</t>
  </si>
  <si>
    <t>Project</t>
  </si>
  <si>
    <t>Orange Codes</t>
  </si>
  <si>
    <t>Month</t>
  </si>
  <si>
    <t>Full Code</t>
  </si>
  <si>
    <t xml:space="preserve">Jan </t>
  </si>
  <si>
    <t>1.345.121212.TRD.DG1</t>
  </si>
  <si>
    <t>Feb</t>
  </si>
  <si>
    <t>1.423.121212.000.DG1</t>
  </si>
  <si>
    <t>Mar</t>
  </si>
  <si>
    <t>Apr</t>
  </si>
  <si>
    <t>June</t>
  </si>
  <si>
    <t>July</t>
  </si>
  <si>
    <t>Sum of Amount in EGP Including Customs</t>
  </si>
  <si>
    <t>Row Labels</t>
  </si>
  <si>
    <t>Grand Total</t>
  </si>
  <si>
    <t>Column Labels</t>
  </si>
  <si>
    <t xml:space="preserve"> </t>
  </si>
  <si>
    <t>Data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</si>
</sst>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#,##0.00;[Red]\(#,##0.00\)"/>
    <numFmt numFmtId="166" formatCode="0.00_)"/>
    <numFmt numFmtId="167" formatCode="[$-409]mmm\-yy;@"/>
    <numFmt numFmtId="168" formatCode="_(* #,##0.0_);_(* \(#,##0.0\);_(* &quot;-&quot;??_);_(@_)"/>
    <numFmt numFmtId="169" formatCode="0.0"/>
    <numFmt numFmtId="170" formatCode="[$EGP]\ #,##0"/>
  </numFmts>
  <fonts count="58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Helv"/>
    </font>
    <font>
      <b/>
      <sz val="10"/>
      <name val="Tms Rmn"/>
    </font>
    <font>
      <sz val="8"/>
      <name val="Helv"/>
    </font>
    <font>
      <sz val="10"/>
      <color indexed="22"/>
      <name val="Arial"/>
      <family val="2"/>
    </font>
    <font>
      <sz val="10"/>
      <color indexed="10"/>
      <name val="MS Sans Serif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10"/>
      <name val="Futura Bk BT"/>
    </font>
    <font>
      <sz val="10"/>
      <color indexed="9"/>
      <name val="Futura Bk BT"/>
    </font>
    <font>
      <sz val="8"/>
      <name val="Arial"/>
      <family val="2"/>
    </font>
    <font>
      <b/>
      <i/>
      <sz val="1"/>
      <color indexed="16"/>
      <name val="Courier"/>
      <family val="3"/>
    </font>
    <font>
      <sz val="1"/>
      <color indexed="18"/>
      <name val="Courier"/>
      <family val="3"/>
    </font>
    <font>
      <sz val="7"/>
      <name val="Small Fonts"/>
      <family val="2"/>
    </font>
    <font>
      <b/>
      <i/>
      <sz val="16"/>
      <name val="Helv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6"/>
      <name val="Arial"/>
      <family val="2"/>
    </font>
    <font>
      <sz val="10"/>
      <name val="MS Sans Serif"/>
      <family val="2"/>
    </font>
    <font>
      <b/>
      <sz val="10"/>
      <color indexed="10"/>
      <name val="Arial"/>
      <family val="2"/>
    </font>
    <font>
      <sz val="12"/>
      <name val="Helv"/>
    </font>
    <font>
      <b/>
      <sz val="18"/>
      <name val="Times New Roman"/>
      <family val="1"/>
    </font>
    <font>
      <sz val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ourier New"/>
      <family val="3"/>
    </font>
    <font>
      <b/>
      <sz val="10"/>
      <name val="Arial Narrow"/>
      <family val="2"/>
    </font>
    <font>
      <b/>
      <sz val="8"/>
      <color rgb="FF000000"/>
      <name val="Shruti"/>
      <family val="2"/>
    </font>
    <font>
      <sz val="10"/>
      <name val="Times New Roman"/>
      <family val="1"/>
    </font>
    <font>
      <b/>
      <sz val="9"/>
      <color rgb="FF000000"/>
      <name val="Helvetica 45 Light"/>
      <family val="2"/>
    </font>
    <font>
      <sz val="9"/>
      <color rgb="FF000000"/>
      <name val="Helvetica 45 Light"/>
      <family val="2"/>
    </font>
    <font>
      <sz val="9"/>
      <color rgb="FFFF0000"/>
      <name val="Helvetica 45 Light"/>
      <family val="2"/>
    </font>
    <font>
      <b/>
      <sz val="9"/>
      <color rgb="FFFF0000"/>
      <name val="Helvetica 45 Light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1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38">
    <xf numFmtId="0" fontId="0" fillId="0" borderId="0"/>
    <xf numFmtId="0" fontId="5" fillId="0" borderId="0" applyFont="0" applyFill="0" applyBorder="0" applyAlignment="0" applyProtection="0"/>
    <xf numFmtId="0" fontId="6" fillId="0" borderId="1" applyFont="0" applyFill="0" applyBorder="0" applyAlignment="0" applyProtection="0">
      <alignment horizontal="center"/>
    </xf>
    <xf numFmtId="0" fontId="7" fillId="0" borderId="2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2">
      <alignment horizont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/>
    <xf numFmtId="0" fontId="12" fillId="0" borderId="0"/>
    <xf numFmtId="0" fontId="13" fillId="2" borderId="3"/>
    <xf numFmtId="0" fontId="12" fillId="0" borderId="0"/>
    <xf numFmtId="3" fontId="8" fillId="0" borderId="0" applyFont="0" applyFill="0" applyBorder="0" applyAlignment="0" applyProtection="0"/>
    <xf numFmtId="38" fontId="14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38" fontId="3" fillId="3" borderId="0" applyNumberFormat="0" applyBorder="0" applyAlignment="0" applyProtection="0"/>
    <xf numFmtId="10" fontId="14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10" fontId="3" fillId="4" borderId="2" applyNumberFormat="0" applyBorder="0" applyAlignment="0" applyProtection="0"/>
    <xf numFmtId="0" fontId="15" fillId="0" borderId="0">
      <protection locked="0"/>
    </xf>
    <xf numFmtId="3" fontId="12" fillId="5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6" fillId="0" borderId="0">
      <protection locked="0"/>
    </xf>
    <xf numFmtId="0" fontId="16" fillId="0" borderId="0">
      <protection locked="0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37" fontId="17" fillId="0" borderId="0"/>
    <xf numFmtId="166" fontId="1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65" fontId="19" fillId="6" borderId="0">
      <alignment horizontal="right"/>
    </xf>
    <xf numFmtId="17" fontId="20" fillId="7" borderId="0">
      <alignment horizontal="center"/>
    </xf>
    <xf numFmtId="0" fontId="4" fillId="0" borderId="4"/>
    <xf numFmtId="0" fontId="4" fillId="0" borderId="0" applyBorder="0">
      <alignment horizontal="centerContinuous"/>
    </xf>
    <xf numFmtId="0" fontId="21" fillId="0" borderId="0" applyBorder="0">
      <alignment horizontal="centerContinuous"/>
    </xf>
    <xf numFmtId="9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0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3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35" fillId="0" borderId="0" applyFont="0" applyFill="0" applyBorder="0" applyAlignment="0" applyProtection="0"/>
    <xf numFmtId="10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2" fillId="0" borderId="0"/>
    <xf numFmtId="0" fontId="23" fillId="3" borderId="2">
      <alignment horizontal="center"/>
    </xf>
    <xf numFmtId="0" fontId="3" fillId="7" borderId="0" applyAlignment="0">
      <alignment horizontal="right"/>
    </xf>
    <xf numFmtId="37" fontId="24" fillId="0" borderId="0"/>
    <xf numFmtId="0" fontId="29" fillId="0" borderId="0"/>
    <xf numFmtId="0" fontId="25" fillId="0" borderId="0">
      <alignment horizontal="left"/>
    </xf>
    <xf numFmtId="0" fontId="8" fillId="0" borderId="5" applyNumberFormat="0" applyFont="0" applyFill="0" applyAlignment="0" applyProtection="0"/>
    <xf numFmtId="2" fontId="8" fillId="0" borderId="0" applyFont="0" applyFill="0" applyBorder="0" applyAlignment="0" applyProtection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41">
    <xf numFmtId="0" fontId="0" fillId="0" borderId="0" xfId="0"/>
    <xf numFmtId="3" fontId="27" fillId="8" borderId="0" xfId="0" applyNumberFormat="1" applyFont="1" applyFill="1" applyAlignment="1">
      <alignment horizontal="left" vertical="center"/>
    </xf>
    <xf numFmtId="3" fontId="26" fillId="8" borderId="0" xfId="0" applyNumberFormat="1" applyFont="1" applyFill="1" applyAlignment="1">
      <alignment horizontal="right" vertical="center"/>
    </xf>
    <xf numFmtId="3" fontId="26" fillId="8" borderId="0" xfId="0" applyNumberFormat="1" applyFont="1" applyFill="1" applyAlignment="1">
      <alignment vertical="center"/>
    </xf>
    <xf numFmtId="3" fontId="26" fillId="0" borderId="0" xfId="0" applyNumberFormat="1" applyFont="1" applyAlignment="1">
      <alignment vertical="center"/>
    </xf>
    <xf numFmtId="0" fontId="26" fillId="8" borderId="0" xfId="0" applyFont="1" applyFill="1"/>
    <xf numFmtId="0" fontId="26" fillId="0" borderId="0" xfId="0" applyFont="1"/>
    <xf numFmtId="0" fontId="26" fillId="0" borderId="6" xfId="0" applyFont="1" applyBorder="1"/>
    <xf numFmtId="0" fontId="26" fillId="8" borderId="6" xfId="0" applyFont="1" applyFill="1" applyBorder="1"/>
    <xf numFmtId="43" fontId="0" fillId="0" borderId="0" xfId="4" applyFont="1" applyAlignment="1">
      <alignment horizontal="center"/>
    </xf>
    <xf numFmtId="43" fontId="0" fillId="0" borderId="0" xfId="4" applyFont="1"/>
    <xf numFmtId="43" fontId="32" fillId="10" borderId="0" xfId="4" applyFont="1" applyFill="1"/>
    <xf numFmtId="43" fontId="0" fillId="0" borderId="8" xfId="4" applyFont="1" applyBorder="1" applyAlignment="1">
      <alignment horizontal="center"/>
    </xf>
    <xf numFmtId="43" fontId="0" fillId="0" borderId="9" xfId="4" applyFont="1" applyBorder="1" applyAlignment="1">
      <alignment horizontal="center"/>
    </xf>
    <xf numFmtId="43" fontId="0" fillId="0" borderId="10" xfId="4" applyFont="1" applyBorder="1" applyAlignment="1"/>
    <xf numFmtId="43" fontId="4" fillId="10" borderId="0" xfId="4" applyFont="1" applyFill="1"/>
    <xf numFmtId="164" fontId="0" fillId="0" borderId="11" xfId="4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3" fontId="0" fillId="10" borderId="0" xfId="0" applyNumberFormat="1" applyFill="1" applyAlignment="1">
      <alignment horizontal="left" vertical="center"/>
    </xf>
    <xf numFmtId="43" fontId="0" fillId="0" borderId="11" xfId="0" applyNumberFormat="1" applyBorder="1" applyAlignment="1">
      <alignment horizontal="center" vertical="center"/>
    </xf>
    <xf numFmtId="43" fontId="0" fillId="0" borderId="0" xfId="0" applyNumberFormat="1" applyAlignment="1">
      <alignment vertical="center"/>
    </xf>
    <xf numFmtId="0" fontId="0" fillId="10" borderId="0" xfId="0" applyFill="1" applyAlignment="1">
      <alignment horizontal="center" vertical="center"/>
    </xf>
    <xf numFmtId="43" fontId="32" fillId="0" borderId="0" xfId="4" applyFont="1" applyFill="1"/>
    <xf numFmtId="164" fontId="0" fillId="0" borderId="0" xfId="4" applyNumberFormat="1" applyFont="1"/>
    <xf numFmtId="43" fontId="0" fillId="10" borderId="11" xfId="0" applyNumberFormat="1" applyFill="1" applyBorder="1" applyAlignment="1">
      <alignment horizontal="center" vertical="center"/>
    </xf>
    <xf numFmtId="43" fontId="0" fillId="0" borderId="0" xfId="7" applyFont="1" applyAlignment="1">
      <alignment horizontal="center"/>
    </xf>
    <xf numFmtId="0" fontId="0" fillId="0" borderId="11" xfId="0" applyBorder="1" applyAlignment="1">
      <alignment vertical="center"/>
    </xf>
    <xf numFmtId="43" fontId="28" fillId="0" borderId="0" xfId="0" applyNumberFormat="1" applyFont="1" applyAlignment="1">
      <alignment vertical="center"/>
    </xf>
    <xf numFmtId="43" fontId="0" fillId="0" borderId="0" xfId="7" applyFont="1"/>
    <xf numFmtId="43" fontId="28" fillId="0" borderId="0" xfId="7" applyFont="1" applyFill="1"/>
    <xf numFmtId="43" fontId="28" fillId="0" borderId="0" xfId="7" applyFont="1" applyFill="1" applyAlignment="1">
      <alignment horizontal="center"/>
    </xf>
    <xf numFmtId="43" fontId="0" fillId="0" borderId="0" xfId="7" applyFont="1" applyFill="1" applyAlignment="1">
      <alignment horizontal="center"/>
    </xf>
    <xf numFmtId="43" fontId="0" fillId="0" borderId="9" xfId="7" applyFont="1" applyBorder="1" applyAlignment="1">
      <alignment horizontal="center"/>
    </xf>
    <xf numFmtId="43" fontId="0" fillId="0" borderId="10" xfId="7" applyFont="1" applyBorder="1" applyAlignment="1"/>
    <xf numFmtId="164" fontId="28" fillId="12" borderId="13" xfId="7" applyNumberFormat="1" applyFont="1" applyFill="1" applyBorder="1" applyAlignment="1">
      <alignment horizontal="center"/>
    </xf>
    <xf numFmtId="43" fontId="26" fillId="8" borderId="0" xfId="4" applyFont="1" applyFill="1" applyProtection="1"/>
    <xf numFmtId="164" fontId="26" fillId="8" borderId="0" xfId="4" applyNumberFormat="1" applyFont="1" applyFill="1" applyProtection="1"/>
    <xf numFmtId="43" fontId="26" fillId="8" borderId="0" xfId="0" applyNumberFormat="1" applyFont="1" applyFill="1"/>
    <xf numFmtId="43" fontId="28" fillId="0" borderId="0" xfId="4" applyFont="1" applyAlignment="1">
      <alignment horizontal="center"/>
    </xf>
    <xf numFmtId="43" fontId="28" fillId="0" borderId="9" xfId="4" applyFont="1" applyBorder="1" applyAlignment="1">
      <alignment horizontal="center"/>
    </xf>
    <xf numFmtId="43" fontId="28" fillId="0" borderId="0" xfId="7" applyFont="1" applyAlignment="1">
      <alignment horizontal="center"/>
    </xf>
    <xf numFmtId="17" fontId="26" fillId="8" borderId="0" xfId="0" applyNumberFormat="1" applyFont="1" applyFill="1"/>
    <xf numFmtId="1" fontId="26" fillId="8" borderId="0" xfId="0" applyNumberFormat="1" applyFont="1" applyFill="1"/>
    <xf numFmtId="164" fontId="0" fillId="0" borderId="0" xfId="0" applyNumberFormat="1"/>
    <xf numFmtId="164" fontId="4" fillId="11" borderId="2" xfId="4" applyNumberFormat="1" applyFont="1" applyFill="1" applyBorder="1" applyAlignment="1">
      <alignment horizontal="center" vertical="center"/>
    </xf>
    <xf numFmtId="4" fontId="26" fillId="8" borderId="0" xfId="0" applyNumberFormat="1" applyFont="1" applyFill="1"/>
    <xf numFmtId="164" fontId="26" fillId="8" borderId="0" xfId="6" applyNumberFormat="1" applyFont="1" applyFill="1" applyProtection="1"/>
    <xf numFmtId="164" fontId="40" fillId="8" borderId="0" xfId="6" applyNumberFormat="1" applyFont="1" applyFill="1" applyProtection="1"/>
    <xf numFmtId="164" fontId="40" fillId="8" borderId="0" xfId="6" applyNumberFormat="1" applyFont="1" applyFill="1" applyBorder="1" applyProtection="1"/>
    <xf numFmtId="4" fontId="41" fillId="13" borderId="13" xfId="0" applyNumberFormat="1" applyFont="1" applyFill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4" fillId="0" borderId="9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3" fontId="4" fillId="0" borderId="10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left" vertical="center"/>
    </xf>
    <xf numFmtId="3" fontId="4" fillId="0" borderId="10" xfId="0" applyNumberFormat="1" applyFont="1" applyBorder="1" applyAlignment="1">
      <alignment horizontal="left" vertical="center"/>
    </xf>
    <xf numFmtId="164" fontId="37" fillId="0" borderId="11" xfId="8" applyNumberFormat="1" applyFont="1" applyFill="1" applyBorder="1" applyAlignment="1">
      <alignment horizontal="center"/>
    </xf>
    <xf numFmtId="164" fontId="0" fillId="0" borderId="11" xfId="4" applyNumberFormat="1" applyFont="1" applyFill="1" applyBorder="1" applyAlignment="1">
      <alignment horizontal="center"/>
    </xf>
    <xf numFmtId="164" fontId="28" fillId="0" borderId="11" xfId="4" applyNumberFormat="1" applyFont="1" applyFill="1" applyBorder="1" applyAlignment="1">
      <alignment horizontal="center"/>
    </xf>
    <xf numFmtId="43" fontId="4" fillId="0" borderId="0" xfId="4" applyFont="1" applyFill="1"/>
    <xf numFmtId="43" fontId="0" fillId="0" borderId="0" xfId="4" applyFont="1" applyFill="1" applyAlignment="1">
      <alignment horizontal="center"/>
    </xf>
    <xf numFmtId="43" fontId="38" fillId="0" borderId="0" xfId="4" applyFont="1" applyFill="1" applyAlignment="1">
      <alignment horizontal="center"/>
    </xf>
    <xf numFmtId="167" fontId="0" fillId="0" borderId="7" xfId="4" applyNumberFormat="1" applyFont="1" applyFill="1" applyBorder="1" applyAlignment="1">
      <alignment horizontal="center"/>
    </xf>
    <xf numFmtId="43" fontId="28" fillId="0" borderId="9" xfId="4" applyFont="1" applyFill="1" applyBorder="1" applyAlignment="1">
      <alignment horizontal="center"/>
    </xf>
    <xf numFmtId="43" fontId="0" fillId="0" borderId="9" xfId="4" applyFont="1" applyFill="1" applyBorder="1" applyAlignment="1">
      <alignment horizontal="center"/>
    </xf>
    <xf numFmtId="43" fontId="4" fillId="10" borderId="0" xfId="4" applyFont="1" applyFill="1" applyAlignment="1"/>
    <xf numFmtId="43" fontId="32" fillId="10" borderId="0" xfId="4" applyFont="1" applyFill="1" applyAlignment="1"/>
    <xf numFmtId="0" fontId="4" fillId="9" borderId="12" xfId="0" applyFont="1" applyFill="1" applyBorder="1" applyAlignment="1">
      <alignment horizontal="left" vertical="center"/>
    </xf>
    <xf numFmtId="43" fontId="0" fillId="0" borderId="8" xfId="7" applyFont="1" applyFill="1" applyBorder="1" applyAlignment="1">
      <alignment horizontal="center"/>
    </xf>
    <xf numFmtId="43" fontId="28" fillId="0" borderId="0" xfId="7" applyFont="1" applyFill="1" applyAlignment="1"/>
    <xf numFmtId="164" fontId="0" fillId="10" borderId="11" xfId="4" applyNumberFormat="1" applyFont="1" applyFill="1" applyBorder="1" applyAlignment="1">
      <alignment horizontal="center"/>
    </xf>
    <xf numFmtId="164" fontId="26" fillId="0" borderId="0" xfId="4" applyNumberFormat="1" applyFont="1" applyProtection="1"/>
    <xf numFmtId="164" fontId="39" fillId="0" borderId="0" xfId="4" applyNumberFormat="1" applyFont="1" applyAlignment="1">
      <alignment horizontal="left" vertical="center" indent="8"/>
    </xf>
    <xf numFmtId="164" fontId="26" fillId="8" borderId="0" xfId="4" applyNumberFormat="1" applyFont="1" applyFill="1" applyBorder="1" applyProtection="1"/>
    <xf numFmtId="4" fontId="38" fillId="0" borderId="0" xfId="4" applyNumberFormat="1" applyFont="1" applyFill="1" applyAlignment="1">
      <alignment horizontal="center"/>
    </xf>
    <xf numFmtId="43" fontId="2" fillId="10" borderId="0" xfId="4" applyFont="1" applyFill="1"/>
    <xf numFmtId="9" fontId="0" fillId="0" borderId="0" xfId="83" applyFont="1"/>
    <xf numFmtId="0" fontId="43" fillId="14" borderId="13" xfId="0" applyFont="1" applyFill="1" applyBorder="1" applyAlignment="1">
      <alignment vertical="center" wrapText="1"/>
    </xf>
    <xf numFmtId="0" fontId="42" fillId="0" borderId="0" xfId="0" applyFont="1"/>
    <xf numFmtId="0" fontId="42" fillId="0" borderId="0" xfId="0" applyFont="1" applyAlignment="1">
      <alignment vertical="top"/>
    </xf>
    <xf numFmtId="0" fontId="43" fillId="14" borderId="13" xfId="0" applyFont="1" applyFill="1" applyBorder="1" applyAlignment="1">
      <alignment horizontal="center" vertical="center" wrapText="1"/>
    </xf>
    <xf numFmtId="0" fontId="43" fillId="16" borderId="13" xfId="0" applyFont="1" applyFill="1" applyBorder="1" applyAlignment="1">
      <alignment vertical="center"/>
    </xf>
    <xf numFmtId="3" fontId="43" fillId="16" borderId="13" xfId="0" applyNumberFormat="1" applyFont="1" applyFill="1" applyBorder="1" applyAlignment="1">
      <alignment horizontal="center" vertical="center"/>
    </xf>
    <xf numFmtId="9" fontId="43" fillId="16" borderId="13" xfId="0" applyNumberFormat="1" applyFont="1" applyFill="1" applyBorder="1" applyAlignment="1">
      <alignment horizontal="center" vertical="center"/>
    </xf>
    <xf numFmtId="0" fontId="44" fillId="0" borderId="11" xfId="0" applyFont="1" applyBorder="1" applyAlignment="1">
      <alignment vertical="center"/>
    </xf>
    <xf numFmtId="3" fontId="44" fillId="0" borderId="11" xfId="0" applyNumberFormat="1" applyFont="1" applyBorder="1" applyAlignment="1">
      <alignment horizontal="center" vertical="center"/>
    </xf>
    <xf numFmtId="3" fontId="45" fillId="0" borderId="11" xfId="0" applyNumberFormat="1" applyFont="1" applyBorder="1" applyAlignment="1">
      <alignment horizontal="center" vertical="center"/>
    </xf>
    <xf numFmtId="0" fontId="42" fillId="0" borderId="11" xfId="0" applyFont="1" applyBorder="1"/>
    <xf numFmtId="0" fontId="42" fillId="0" borderId="11" xfId="0" applyFont="1" applyBorder="1" applyAlignment="1">
      <alignment vertical="center"/>
    </xf>
    <xf numFmtId="3" fontId="46" fillId="16" borderId="13" xfId="0" applyNumberFormat="1" applyFont="1" applyFill="1" applyBorder="1" applyAlignment="1">
      <alignment horizontal="center" vertical="center"/>
    </xf>
    <xf numFmtId="9" fontId="44" fillId="0" borderId="11" xfId="0" applyNumberFormat="1" applyFont="1" applyBorder="1" applyAlignment="1">
      <alignment horizontal="center" vertical="center"/>
    </xf>
    <xf numFmtId="3" fontId="0" fillId="0" borderId="0" xfId="0" applyNumberFormat="1"/>
    <xf numFmtId="3" fontId="44" fillId="15" borderId="11" xfId="0" applyNumberFormat="1" applyFont="1" applyFill="1" applyBorder="1" applyAlignment="1">
      <alignment horizontal="center" vertical="center"/>
    </xf>
    <xf numFmtId="4" fontId="0" fillId="0" borderId="0" xfId="0" applyNumberFormat="1"/>
    <xf numFmtId="43" fontId="2" fillId="0" borderId="0" xfId="7" applyFont="1" applyFill="1" applyAlignment="1"/>
    <xf numFmtId="0" fontId="47" fillId="17" borderId="13" xfId="0" applyFont="1" applyFill="1" applyBorder="1" applyAlignment="1">
      <alignment vertical="center"/>
    </xf>
    <xf numFmtId="0" fontId="48" fillId="0" borderId="10" xfId="0" applyFont="1" applyBorder="1" applyAlignment="1">
      <alignment vertical="center"/>
    </xf>
    <xf numFmtId="0" fontId="47" fillId="17" borderId="10" xfId="0" applyFont="1" applyFill="1" applyBorder="1" applyAlignment="1">
      <alignment vertical="center"/>
    </xf>
    <xf numFmtId="0" fontId="47" fillId="17" borderId="13" xfId="0" applyFont="1" applyFill="1" applyBorder="1" applyAlignment="1">
      <alignment horizontal="right" vertical="center"/>
    </xf>
    <xf numFmtId="164" fontId="47" fillId="17" borderId="10" xfId="4" applyNumberFormat="1" applyFont="1" applyFill="1" applyBorder="1" applyAlignment="1">
      <alignment vertical="center"/>
    </xf>
    <xf numFmtId="164" fontId="48" fillId="0" borderId="10" xfId="4" applyNumberFormat="1" applyFont="1" applyBorder="1" applyAlignment="1">
      <alignment vertical="center"/>
    </xf>
    <xf numFmtId="164" fontId="47" fillId="17" borderId="13" xfId="4" applyNumberFormat="1" applyFont="1" applyFill="1" applyBorder="1" applyAlignment="1">
      <alignment vertical="center"/>
    </xf>
    <xf numFmtId="164" fontId="48" fillId="0" borderId="10" xfId="0" applyNumberFormat="1" applyFont="1" applyBorder="1" applyAlignment="1">
      <alignment vertical="center"/>
    </xf>
    <xf numFmtId="0" fontId="49" fillId="18" borderId="22" xfId="0" applyFont="1" applyFill="1" applyBorder="1" applyAlignment="1">
      <alignment horizontal="center" vertical="center" wrapText="1"/>
    </xf>
    <xf numFmtId="0" fontId="49" fillId="18" borderId="21" xfId="0" applyFont="1" applyFill="1" applyBorder="1" applyAlignment="1">
      <alignment horizontal="center" vertical="center" wrapText="1"/>
    </xf>
    <xf numFmtId="0" fontId="50" fillId="0" borderId="10" xfId="0" applyFont="1" applyBorder="1" applyAlignment="1">
      <alignment vertical="center"/>
    </xf>
    <xf numFmtId="0" fontId="50" fillId="0" borderId="21" xfId="0" applyFont="1" applyBorder="1" applyAlignment="1">
      <alignment horizontal="right" vertical="center"/>
    </xf>
    <xf numFmtId="0" fontId="51" fillId="15" borderId="10" xfId="0" applyFont="1" applyFill="1" applyBorder="1" applyAlignment="1">
      <alignment vertical="center"/>
    </xf>
    <xf numFmtId="3" fontId="51" fillId="15" borderId="21" xfId="0" applyNumberFormat="1" applyFont="1" applyFill="1" applyBorder="1" applyAlignment="1">
      <alignment horizontal="right" vertical="center"/>
    </xf>
    <xf numFmtId="0" fontId="51" fillId="15" borderId="21" xfId="0" applyFont="1" applyFill="1" applyBorder="1" applyAlignment="1">
      <alignment horizontal="right" vertical="center"/>
    </xf>
    <xf numFmtId="164" fontId="50" fillId="0" borderId="21" xfId="4" applyNumberFormat="1" applyFont="1" applyBorder="1" applyAlignment="1">
      <alignment horizontal="right" vertical="center"/>
    </xf>
    <xf numFmtId="164" fontId="50" fillId="0" borderId="21" xfId="0" applyNumberFormat="1" applyFont="1" applyBorder="1" applyAlignment="1">
      <alignment horizontal="right" vertical="center"/>
    </xf>
    <xf numFmtId="164" fontId="51" fillId="15" borderId="21" xfId="0" applyNumberFormat="1" applyFont="1" applyFill="1" applyBorder="1" applyAlignment="1">
      <alignment horizontal="right" vertical="center"/>
    </xf>
    <xf numFmtId="0" fontId="47" fillId="17" borderId="11" xfId="0" applyFont="1" applyFill="1" applyBorder="1" applyAlignment="1">
      <alignment horizontal="right" vertical="center"/>
    </xf>
    <xf numFmtId="167" fontId="47" fillId="17" borderId="13" xfId="4" applyNumberFormat="1" applyFont="1" applyFill="1" applyBorder="1" applyAlignment="1">
      <alignment vertical="center"/>
    </xf>
    <xf numFmtId="167" fontId="47" fillId="15" borderId="13" xfId="4" applyNumberFormat="1" applyFont="1" applyFill="1" applyBorder="1" applyAlignment="1">
      <alignment vertical="center"/>
    </xf>
    <xf numFmtId="164" fontId="48" fillId="15" borderId="10" xfId="0" applyNumberFormat="1" applyFont="1" applyFill="1" applyBorder="1" applyAlignment="1">
      <alignment vertical="center"/>
    </xf>
    <xf numFmtId="164" fontId="47" fillId="15" borderId="10" xfId="4" applyNumberFormat="1" applyFont="1" applyFill="1" applyBorder="1" applyAlignment="1">
      <alignment vertical="center"/>
    </xf>
    <xf numFmtId="0" fontId="50" fillId="15" borderId="10" xfId="0" applyFont="1" applyFill="1" applyBorder="1" applyAlignment="1">
      <alignment vertical="center"/>
    </xf>
    <xf numFmtId="0" fontId="50" fillId="15" borderId="21" xfId="0" applyFont="1" applyFill="1" applyBorder="1" applyAlignment="1">
      <alignment horizontal="right" vertical="center"/>
    </xf>
    <xf numFmtId="164" fontId="50" fillId="15" borderId="21" xfId="4" applyNumberFormat="1" applyFont="1" applyFill="1" applyBorder="1" applyAlignment="1">
      <alignment horizontal="right" vertical="center"/>
    </xf>
    <xf numFmtId="164" fontId="50" fillId="15" borderId="21" xfId="0" applyNumberFormat="1" applyFont="1" applyFill="1" applyBorder="1" applyAlignment="1">
      <alignment horizontal="right" vertical="center"/>
    </xf>
    <xf numFmtId="0" fontId="50" fillId="12" borderId="10" xfId="0" applyFont="1" applyFill="1" applyBorder="1" applyAlignment="1">
      <alignment vertical="center"/>
    </xf>
    <xf numFmtId="43" fontId="49" fillId="18" borderId="22" xfId="4" applyFont="1" applyFill="1" applyBorder="1" applyAlignment="1">
      <alignment horizontal="center" vertical="center" wrapText="1"/>
    </xf>
    <xf numFmtId="43" fontId="49" fillId="18" borderId="21" xfId="4" applyFont="1" applyFill="1" applyBorder="1" applyAlignment="1">
      <alignment horizontal="center" vertical="center" wrapText="1"/>
    </xf>
    <xf numFmtId="43" fontId="50" fillId="0" borderId="21" xfId="4" applyFont="1" applyBorder="1" applyAlignment="1">
      <alignment horizontal="right" vertical="center"/>
    </xf>
    <xf numFmtId="43" fontId="50" fillId="15" borderId="21" xfId="4" applyFont="1" applyFill="1" applyBorder="1" applyAlignment="1">
      <alignment horizontal="right" vertical="center"/>
    </xf>
    <xf numFmtId="43" fontId="51" fillId="15" borderId="21" xfId="4" applyFont="1" applyFill="1" applyBorder="1" applyAlignment="1">
      <alignment horizontal="right" vertical="center"/>
    </xf>
    <xf numFmtId="43" fontId="50" fillId="12" borderId="10" xfId="4" applyFont="1" applyFill="1" applyBorder="1" applyAlignment="1">
      <alignment vertical="center"/>
    </xf>
    <xf numFmtId="164" fontId="50" fillId="0" borderId="10" xfId="4" applyNumberFormat="1" applyFont="1" applyBorder="1" applyAlignment="1">
      <alignment vertical="center"/>
    </xf>
    <xf numFmtId="164" fontId="50" fillId="0" borderId="10" xfId="0" applyNumberFormat="1" applyFont="1" applyBorder="1" applyAlignment="1">
      <alignment vertical="center"/>
    </xf>
    <xf numFmtId="164" fontId="50" fillId="12" borderId="10" xfId="0" applyNumberFormat="1" applyFont="1" applyFill="1" applyBorder="1" applyAlignment="1">
      <alignment vertical="center"/>
    </xf>
    <xf numFmtId="43" fontId="0" fillId="0" borderId="0" xfId="0" applyNumberFormat="1"/>
    <xf numFmtId="164" fontId="50" fillId="12" borderId="10" xfId="4" applyNumberFormat="1" applyFont="1" applyFill="1" applyBorder="1" applyAlignment="1">
      <alignment vertical="center"/>
    </xf>
    <xf numFmtId="43" fontId="0" fillId="10" borderId="0" xfId="7" applyFont="1" applyFill="1" applyAlignment="1">
      <alignment horizontal="center"/>
    </xf>
    <xf numFmtId="0" fontId="54" fillId="10" borderId="0" xfId="0" applyFont="1" applyFill="1"/>
    <xf numFmtId="0" fontId="54" fillId="0" borderId="0" xfId="0" applyFont="1"/>
    <xf numFmtId="0" fontId="55" fillId="18" borderId="13" xfId="0" applyFont="1" applyFill="1" applyBorder="1" applyAlignment="1">
      <alignment horizontal="center" vertical="center" wrapText="1"/>
    </xf>
    <xf numFmtId="0" fontId="54" fillId="10" borderId="17" xfId="0" applyFont="1" applyFill="1" applyBorder="1"/>
    <xf numFmtId="164" fontId="54" fillId="10" borderId="11" xfId="4" applyNumberFormat="1" applyFont="1" applyFill="1" applyBorder="1"/>
    <xf numFmtId="0" fontId="54" fillId="10" borderId="9" xfId="0" applyFont="1" applyFill="1" applyBorder="1"/>
    <xf numFmtId="164" fontId="54" fillId="10" borderId="10" xfId="4" applyNumberFormat="1" applyFont="1" applyFill="1" applyBorder="1"/>
    <xf numFmtId="0" fontId="54" fillId="19" borderId="12" xfId="0" applyFont="1" applyFill="1" applyBorder="1"/>
    <xf numFmtId="164" fontId="54" fillId="19" borderId="13" xfId="4" applyNumberFormat="1" applyFont="1" applyFill="1" applyBorder="1"/>
    <xf numFmtId="0" fontId="54" fillId="10" borderId="12" xfId="0" applyFont="1" applyFill="1" applyBorder="1"/>
    <xf numFmtId="164" fontId="54" fillId="10" borderId="13" xfId="4" applyNumberFormat="1" applyFont="1" applyFill="1" applyBorder="1"/>
    <xf numFmtId="164" fontId="55" fillId="18" borderId="13" xfId="4" applyNumberFormat="1" applyFont="1" applyFill="1" applyBorder="1" applyAlignment="1">
      <alignment horizontal="center" vertical="center" wrapText="1"/>
    </xf>
    <xf numFmtId="164" fontId="54" fillId="10" borderId="0" xfId="0" applyNumberFormat="1" applyFont="1" applyFill="1"/>
    <xf numFmtId="3" fontId="54" fillId="10" borderId="0" xfId="0" applyNumberFormat="1" applyFont="1" applyFill="1"/>
    <xf numFmtId="164" fontId="54" fillId="10" borderId="0" xfId="4" applyNumberFormat="1" applyFont="1" applyFill="1"/>
    <xf numFmtId="0" fontId="52" fillId="20" borderId="24" xfId="0" applyFont="1" applyFill="1" applyBorder="1" applyAlignment="1">
      <alignment horizontal="center" wrapText="1"/>
    </xf>
    <xf numFmtId="164" fontId="53" fillId="20" borderId="15" xfId="4" applyNumberFormat="1" applyFont="1" applyFill="1" applyBorder="1"/>
    <xf numFmtId="164" fontId="53" fillId="20" borderId="25" xfId="4" applyNumberFormat="1" applyFont="1" applyFill="1" applyBorder="1"/>
    <xf numFmtId="0" fontId="52" fillId="20" borderId="24" xfId="0" applyFont="1" applyFill="1" applyBorder="1" applyAlignment="1">
      <alignment horizontal="right"/>
    </xf>
    <xf numFmtId="164" fontId="54" fillId="10" borderId="15" xfId="4" applyNumberFormat="1" applyFont="1" applyFill="1" applyBorder="1"/>
    <xf numFmtId="1" fontId="54" fillId="0" borderId="15" xfId="0" applyNumberFormat="1" applyFont="1" applyBorder="1"/>
    <xf numFmtId="0" fontId="52" fillId="20" borderId="26" xfId="0" applyFont="1" applyFill="1" applyBorder="1"/>
    <xf numFmtId="0" fontId="54" fillId="10" borderId="19" xfId="0" applyFont="1" applyFill="1" applyBorder="1"/>
    <xf numFmtId="0" fontId="54" fillId="0" borderId="19" xfId="0" applyFont="1" applyBorder="1"/>
    <xf numFmtId="0" fontId="53" fillId="20" borderId="14" xfId="0" applyFont="1" applyFill="1" applyBorder="1"/>
    <xf numFmtId="0" fontId="54" fillId="0" borderId="14" xfId="0" applyFont="1" applyBorder="1"/>
    <xf numFmtId="4" fontId="0" fillId="0" borderId="0" xfId="4" applyNumberFormat="1" applyFont="1"/>
    <xf numFmtId="9" fontId="28" fillId="0" borderId="0" xfId="4" applyNumberFormat="1" applyFont="1" applyAlignment="1">
      <alignment horizontal="center"/>
    </xf>
    <xf numFmtId="4" fontId="1" fillId="0" borderId="0" xfId="134" applyNumberFormat="1"/>
    <xf numFmtId="3" fontId="28" fillId="0" borderId="0" xfId="4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43" fontId="2" fillId="10" borderId="0" xfId="4" applyFont="1" applyFill="1" applyAlignment="1"/>
    <xf numFmtId="4" fontId="1" fillId="0" borderId="0" xfId="135" applyNumberFormat="1" applyAlignment="1">
      <alignment horizontal="center"/>
    </xf>
    <xf numFmtId="164" fontId="0" fillId="10" borderId="0" xfId="7" applyNumberFormat="1" applyFont="1" applyFill="1"/>
    <xf numFmtId="168" fontId="54" fillId="10" borderId="0" xfId="4" applyNumberFormat="1" applyFont="1" applyFill="1" applyAlignment="1">
      <alignment horizontal="right"/>
    </xf>
    <xf numFmtId="9" fontId="54" fillId="10" borderId="0" xfId="83" applyFont="1" applyFill="1"/>
    <xf numFmtId="0" fontId="54" fillId="0" borderId="17" xfId="0" applyFont="1" applyBorder="1"/>
    <xf numFmtId="0" fontId="53" fillId="20" borderId="16" xfId="0" applyFont="1" applyFill="1" applyBorder="1"/>
    <xf numFmtId="0" fontId="54" fillId="0" borderId="16" xfId="0" applyFont="1" applyBorder="1"/>
    <xf numFmtId="0" fontId="53" fillId="20" borderId="27" xfId="0" applyFont="1" applyFill="1" applyBorder="1"/>
    <xf numFmtId="0" fontId="54" fillId="21" borderId="13" xfId="0" applyFont="1" applyFill="1" applyBorder="1"/>
    <xf numFmtId="0" fontId="54" fillId="10" borderId="20" xfId="0" applyFont="1" applyFill="1" applyBorder="1"/>
    <xf numFmtId="0" fontId="54" fillId="10" borderId="15" xfId="0" applyFont="1" applyFill="1" applyBorder="1"/>
    <xf numFmtId="0" fontId="54" fillId="10" borderId="23" xfId="0" applyFont="1" applyFill="1" applyBorder="1"/>
    <xf numFmtId="0" fontId="54" fillId="21" borderId="13" xfId="0" applyFont="1" applyFill="1" applyBorder="1" applyAlignment="1">
      <alignment horizontal="center"/>
    </xf>
    <xf numFmtId="1" fontId="54" fillId="10" borderId="20" xfId="0" applyNumberFormat="1" applyFont="1" applyFill="1" applyBorder="1"/>
    <xf numFmtId="1" fontId="54" fillId="10" borderId="15" xfId="0" applyNumberFormat="1" applyFont="1" applyFill="1" applyBorder="1"/>
    <xf numFmtId="1" fontId="54" fillId="10" borderId="23" xfId="0" applyNumberFormat="1" applyFont="1" applyFill="1" applyBorder="1"/>
    <xf numFmtId="1" fontId="54" fillId="21" borderId="13" xfId="0" applyNumberFormat="1" applyFont="1" applyFill="1" applyBorder="1"/>
    <xf numFmtId="164" fontId="54" fillId="10" borderId="20" xfId="4" applyNumberFormat="1" applyFont="1" applyFill="1" applyBorder="1"/>
    <xf numFmtId="168" fontId="54" fillId="10" borderId="15" xfId="4" applyNumberFormat="1" applyFont="1" applyFill="1" applyBorder="1" applyAlignment="1">
      <alignment horizontal="right"/>
    </xf>
    <xf numFmtId="164" fontId="54" fillId="10" borderId="23" xfId="4" applyNumberFormat="1" applyFont="1" applyFill="1" applyBorder="1"/>
    <xf numFmtId="164" fontId="54" fillId="21" borderId="13" xfId="4" applyNumberFormat="1" applyFont="1" applyFill="1" applyBorder="1"/>
    <xf numFmtId="164" fontId="54" fillId="10" borderId="20" xfId="83" applyNumberFormat="1" applyFont="1" applyFill="1" applyBorder="1"/>
    <xf numFmtId="164" fontId="54" fillId="10" borderId="15" xfId="83" applyNumberFormat="1" applyFont="1" applyFill="1" applyBorder="1"/>
    <xf numFmtId="164" fontId="54" fillId="10" borderId="23" xfId="83" applyNumberFormat="1" applyFont="1" applyFill="1" applyBorder="1"/>
    <xf numFmtId="17" fontId="54" fillId="21" borderId="13" xfId="0" applyNumberFormat="1" applyFont="1" applyFill="1" applyBorder="1" applyAlignment="1">
      <alignment horizontal="center" wrapText="1"/>
    </xf>
    <xf numFmtId="169" fontId="54" fillId="10" borderId="15" xfId="0" applyNumberFormat="1" applyFont="1" applyFill="1" applyBorder="1"/>
    <xf numFmtId="168" fontId="54" fillId="10" borderId="15" xfId="83" applyNumberFormat="1" applyFont="1" applyFill="1" applyBorder="1"/>
    <xf numFmtId="17" fontId="54" fillId="10" borderId="0" xfId="0" applyNumberFormat="1" applyFont="1" applyFill="1" applyAlignment="1">
      <alignment horizontal="right" wrapText="1"/>
    </xf>
    <xf numFmtId="164" fontId="2" fillId="0" borderId="11" xfId="4" applyNumberFormat="1" applyFont="1" applyFill="1" applyBorder="1" applyAlignment="1">
      <alignment horizontal="center"/>
    </xf>
    <xf numFmtId="164" fontId="37" fillId="0" borderId="0" xfId="8" applyNumberFormat="1" applyFont="1" applyFill="1" applyBorder="1" applyAlignment="1">
      <alignment horizontal="center"/>
    </xf>
    <xf numFmtId="43" fontId="0" fillId="0" borderId="28" xfId="4" applyFont="1" applyBorder="1" applyAlignment="1">
      <alignment horizontal="center"/>
    </xf>
    <xf numFmtId="43" fontId="0" fillId="0" borderId="17" xfId="4" applyFont="1" applyBorder="1" applyAlignment="1">
      <alignment horizontal="center"/>
    </xf>
    <xf numFmtId="43" fontId="28" fillId="0" borderId="17" xfId="4" applyFont="1" applyBorder="1" applyAlignment="1">
      <alignment horizontal="center"/>
    </xf>
    <xf numFmtId="43" fontId="0" fillId="0" borderId="10" xfId="4" applyFont="1" applyBorder="1" applyAlignment="1">
      <alignment horizontal="center"/>
    </xf>
    <xf numFmtId="164" fontId="28" fillId="0" borderId="17" xfId="4" applyNumberFormat="1" applyFont="1" applyFill="1" applyBorder="1" applyAlignment="1">
      <alignment horizontal="center"/>
    </xf>
    <xf numFmtId="164" fontId="4" fillId="11" borderId="14" xfId="4" applyNumberFormat="1" applyFont="1" applyFill="1" applyBorder="1" applyAlignment="1">
      <alignment horizontal="center" vertical="center"/>
    </xf>
    <xf numFmtId="167" fontId="0" fillId="0" borderId="29" xfId="4" applyNumberFormat="1" applyFont="1" applyFill="1" applyBorder="1" applyAlignment="1">
      <alignment horizontal="center"/>
    </xf>
    <xf numFmtId="43" fontId="0" fillId="0" borderId="28" xfId="4" applyFont="1" applyFill="1" applyBorder="1" applyAlignment="1">
      <alignment horizontal="center"/>
    </xf>
    <xf numFmtId="164" fontId="28" fillId="0" borderId="0" xfId="4" applyNumberFormat="1" applyFont="1" applyFill="1" applyBorder="1" applyAlignment="1">
      <alignment horizontal="center"/>
    </xf>
    <xf numFmtId="164" fontId="4" fillId="11" borderId="16" xfId="4" applyNumberFormat="1" applyFont="1" applyFill="1" applyBorder="1" applyAlignment="1">
      <alignment horizontal="center" vertical="center"/>
    </xf>
    <xf numFmtId="43" fontId="0" fillId="0" borderId="22" xfId="4" applyFont="1" applyBorder="1" applyAlignment="1">
      <alignment horizontal="center"/>
    </xf>
    <xf numFmtId="43" fontId="0" fillId="0" borderId="21" xfId="4" applyFont="1" applyBorder="1" applyAlignment="1"/>
    <xf numFmtId="167" fontId="0" fillId="0" borderId="8" xfId="4" applyNumberFormat="1" applyFont="1" applyFill="1" applyBorder="1" applyAlignment="1">
      <alignment horizontal="center"/>
    </xf>
    <xf numFmtId="43" fontId="0" fillId="0" borderId="10" xfId="4" applyFont="1" applyFill="1" applyBorder="1" applyAlignment="1">
      <alignment horizontal="center"/>
    </xf>
    <xf numFmtId="43" fontId="0" fillId="0" borderId="11" xfId="4" applyFont="1" applyBorder="1"/>
    <xf numFmtId="164" fontId="4" fillId="11" borderId="25" xfId="4" applyNumberFormat="1" applyFont="1" applyFill="1" applyBorder="1" applyAlignment="1">
      <alignment horizontal="center" vertical="center"/>
    </xf>
    <xf numFmtId="164" fontId="37" fillId="0" borderId="17" xfId="8" applyNumberFormat="1" applyFont="1" applyFill="1" applyBorder="1" applyAlignment="1">
      <alignment horizontal="center"/>
    </xf>
    <xf numFmtId="43" fontId="28" fillId="0" borderId="28" xfId="4" applyFont="1" applyBorder="1" applyAlignment="1">
      <alignment horizontal="center"/>
    </xf>
    <xf numFmtId="43" fontId="28" fillId="0" borderId="10" xfId="4" applyFont="1" applyBorder="1" applyAlignment="1">
      <alignment horizontal="center"/>
    </xf>
    <xf numFmtId="43" fontId="0" fillId="0" borderId="17" xfId="4" applyFont="1" applyBorder="1"/>
    <xf numFmtId="164" fontId="4" fillId="11" borderId="30" xfId="4" applyNumberFormat="1" applyFont="1" applyFill="1" applyBorder="1" applyAlignment="1">
      <alignment horizontal="center" vertical="center"/>
    </xf>
    <xf numFmtId="0" fontId="56" fillId="22" borderId="7" xfId="0" applyFont="1" applyFill="1" applyBorder="1" applyAlignment="1">
      <alignment horizontal="center" vertical="center"/>
    </xf>
    <xf numFmtId="3" fontId="56" fillId="22" borderId="8" xfId="0" applyNumberFormat="1" applyFont="1" applyFill="1" applyBorder="1" applyAlignment="1">
      <alignment horizontal="center" vertical="center"/>
    </xf>
    <xf numFmtId="170" fontId="56" fillId="22" borderId="22" xfId="0" applyNumberFormat="1" applyFont="1" applyFill="1" applyBorder="1" applyAlignment="1">
      <alignment horizontal="center" vertical="center"/>
    </xf>
    <xf numFmtId="170" fontId="56" fillId="22" borderId="8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1" xfId="0" applyBorder="1" applyAlignment="1">
      <alignment horizontal="center"/>
    </xf>
    <xf numFmtId="40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3" fontId="57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3" fontId="4" fillId="0" borderId="8" xfId="0" applyNumberFormat="1" applyFont="1" applyBorder="1" applyAlignment="1">
      <alignment horizontal="center" vertical="center"/>
    </xf>
    <xf numFmtId="3" fontId="4" fillId="0" borderId="10" xfId="0" applyNumberFormat="1" applyFont="1" applyBorder="1" applyAlignment="1">
      <alignment horizontal="center" vertical="center"/>
    </xf>
    <xf numFmtId="0" fontId="49" fillId="18" borderId="8" xfId="0" applyFont="1" applyFill="1" applyBorder="1" applyAlignment="1">
      <alignment horizontal="center" vertical="center" wrapText="1"/>
    </xf>
    <xf numFmtId="0" fontId="49" fillId="18" borderId="10" xfId="0" applyFont="1" applyFill="1" applyBorder="1" applyAlignment="1">
      <alignment horizontal="center" vertical="center" wrapText="1"/>
    </xf>
    <xf numFmtId="43" fontId="49" fillId="18" borderId="8" xfId="4" applyFont="1" applyFill="1" applyBorder="1" applyAlignment="1">
      <alignment horizontal="center" vertical="center" wrapText="1"/>
    </xf>
    <xf numFmtId="43" fontId="49" fillId="18" borderId="10" xfId="4" applyFont="1" applyFill="1" applyBorder="1" applyAlignment="1">
      <alignment horizontal="center" vertical="center" wrapText="1"/>
    </xf>
    <xf numFmtId="164" fontId="2" fillId="0" borderId="17" xfId="8" applyNumberFormat="1" applyFont="1" applyFill="1" applyBorder="1" applyAlignment="1">
      <alignment horizontal="center"/>
    </xf>
  </cellXfs>
  <cellStyles count="138">
    <cellStyle name="1.1" xfId="1" xr:uid="{00000000-0005-0000-0000-000000000000}"/>
    <cellStyle name="1.10" xfId="2" xr:uid="{00000000-0005-0000-0000-000001000000}"/>
    <cellStyle name="Cadre" xfId="3" xr:uid="{00000000-0005-0000-0000-000002000000}"/>
    <cellStyle name="Comma" xfId="4" builtinId="3"/>
    <cellStyle name="Comma 10" xfId="5" xr:uid="{00000000-0005-0000-0000-000004000000}"/>
    <cellStyle name="Comma 10 2" xfId="6" xr:uid="{00000000-0005-0000-0000-000005000000}"/>
    <cellStyle name="Comma 11" xfId="7" xr:uid="{00000000-0005-0000-0000-000006000000}"/>
    <cellStyle name="Comma 3" xfId="8" xr:uid="{00000000-0005-0000-0000-000007000000}"/>
    <cellStyle name="Comma 3 2" xfId="9" xr:uid="{00000000-0005-0000-0000-000008000000}"/>
    <cellStyle name="Comma 3 2 2" xfId="136" xr:uid="{00000000-0005-0000-0000-000009000000}"/>
    <cellStyle name="Comma 3 3" xfId="10" xr:uid="{00000000-0005-0000-0000-00000A000000}"/>
    <cellStyle name="Comma 3 4" xfId="11" xr:uid="{00000000-0005-0000-0000-00000B000000}"/>
    <cellStyle name="Comma 3 5" xfId="137" xr:uid="{00000000-0005-0000-0000-00000C000000}"/>
    <cellStyle name="Comma 7" xfId="12" xr:uid="{00000000-0005-0000-0000-00000D000000}"/>
    <cellStyle name="Comma 7 2" xfId="13" xr:uid="{00000000-0005-0000-0000-00000E000000}"/>
    <cellStyle name="Comma 8" xfId="14" xr:uid="{00000000-0005-0000-0000-00000F000000}"/>
    <cellStyle name="Comma 8 2" xfId="15" xr:uid="{00000000-0005-0000-0000-000010000000}"/>
    <cellStyle name="Comma 9" xfId="16" xr:uid="{00000000-0005-0000-0000-000011000000}"/>
    <cellStyle name="Comma 9 2" xfId="17" xr:uid="{00000000-0005-0000-0000-000012000000}"/>
    <cellStyle name="Comma 9 3" xfId="18" xr:uid="{00000000-0005-0000-0000-000013000000}"/>
    <cellStyle name="Date" xfId="19" xr:uid="{00000000-0005-0000-0000-000014000000}"/>
    <cellStyle name="Diagnostic" xfId="20" xr:uid="{00000000-0005-0000-0000-000015000000}"/>
    <cellStyle name="En-tête 1" xfId="21" xr:uid="{00000000-0005-0000-0000-000016000000}"/>
    <cellStyle name="En-tête 2" xfId="22" xr:uid="{00000000-0005-0000-0000-000017000000}"/>
    <cellStyle name="erl" xfId="23" xr:uid="{00000000-0005-0000-0000-000018000000}"/>
    <cellStyle name="Erlang" xfId="24" xr:uid="{00000000-0005-0000-0000-000019000000}"/>
    <cellStyle name="Erlang#" xfId="25" xr:uid="{00000000-0005-0000-0000-00001A000000}"/>
    <cellStyle name="Erlang_BOQ10_1" xfId="26" xr:uid="{00000000-0005-0000-0000-00001B000000}"/>
    <cellStyle name="Financier0" xfId="27" xr:uid="{00000000-0005-0000-0000-00001C000000}"/>
    <cellStyle name="Grey" xfId="28" xr:uid="{00000000-0005-0000-0000-00001D000000}"/>
    <cellStyle name="Grey 2" xfId="29" xr:uid="{00000000-0005-0000-0000-00001E000000}"/>
    <cellStyle name="Grey 3" xfId="30" xr:uid="{00000000-0005-0000-0000-00001F000000}"/>
    <cellStyle name="Grey 4" xfId="31" xr:uid="{00000000-0005-0000-0000-000020000000}"/>
    <cellStyle name="Grey 5" xfId="32" xr:uid="{00000000-0005-0000-0000-000021000000}"/>
    <cellStyle name="Grey 6" xfId="33" xr:uid="{00000000-0005-0000-0000-000022000000}"/>
    <cellStyle name="Input [yellow]" xfId="34" xr:uid="{00000000-0005-0000-0000-000023000000}"/>
    <cellStyle name="Input [yellow] 2" xfId="35" xr:uid="{00000000-0005-0000-0000-000024000000}"/>
    <cellStyle name="Input [yellow] 3" xfId="36" xr:uid="{00000000-0005-0000-0000-000025000000}"/>
    <cellStyle name="Input [yellow] 4" xfId="37" xr:uid="{00000000-0005-0000-0000-000026000000}"/>
    <cellStyle name="Input [yellow] 5" xfId="38" xr:uid="{00000000-0005-0000-0000-000027000000}"/>
    <cellStyle name="Input [yellow] 6" xfId="39" xr:uid="{00000000-0005-0000-0000-000028000000}"/>
    <cellStyle name="Italique" xfId="40" xr:uid="{00000000-0005-0000-0000-000029000000}"/>
    <cellStyle name="merlang" xfId="41" xr:uid="{00000000-0005-0000-0000-00002A000000}"/>
    <cellStyle name="Milliers [0]_1.1.2" xfId="42" xr:uid="{00000000-0005-0000-0000-00002B000000}"/>
    <cellStyle name="Milliers_1.1.2" xfId="43" xr:uid="{00000000-0005-0000-0000-00002C000000}"/>
    <cellStyle name="Monetaire" xfId="44" xr:uid="{00000000-0005-0000-0000-00002D000000}"/>
    <cellStyle name="Monetaire [0]" xfId="45" xr:uid="{00000000-0005-0000-0000-00002E000000}"/>
    <cellStyle name="Monétaire [0]_1.1.2" xfId="46" xr:uid="{00000000-0005-0000-0000-00002F000000}"/>
    <cellStyle name="Monétaire_1.1.2" xfId="47" xr:uid="{00000000-0005-0000-0000-000030000000}"/>
    <cellStyle name="Monétaire0" xfId="48" xr:uid="{00000000-0005-0000-0000-000031000000}"/>
    <cellStyle name="Monétaire0 10" xfId="49" xr:uid="{00000000-0005-0000-0000-000032000000}"/>
    <cellStyle name="Monétaire0 10 2" xfId="50" xr:uid="{00000000-0005-0000-0000-000033000000}"/>
    <cellStyle name="Monétaire0 2" xfId="51" xr:uid="{00000000-0005-0000-0000-000034000000}"/>
    <cellStyle name="Monétaire0 2 2" xfId="52" xr:uid="{00000000-0005-0000-0000-000035000000}"/>
    <cellStyle name="Monétaire0 2 3" xfId="53" xr:uid="{00000000-0005-0000-0000-000036000000}"/>
    <cellStyle name="Monétaire0 2 4" xfId="54" xr:uid="{00000000-0005-0000-0000-000037000000}"/>
    <cellStyle name="Monétaire0 2 5" xfId="55" xr:uid="{00000000-0005-0000-0000-000038000000}"/>
    <cellStyle name="Monétaire0 3" xfId="56" xr:uid="{00000000-0005-0000-0000-000039000000}"/>
    <cellStyle name="Monétaire0 4" xfId="57" xr:uid="{00000000-0005-0000-0000-00003A000000}"/>
    <cellStyle name="Monétaire0 4 2" xfId="58" xr:uid="{00000000-0005-0000-0000-00003B000000}"/>
    <cellStyle name="Monétaire0 4 3" xfId="59" xr:uid="{00000000-0005-0000-0000-00003C000000}"/>
    <cellStyle name="Monétaire0 5" xfId="60" xr:uid="{00000000-0005-0000-0000-00003D000000}"/>
    <cellStyle name="Monétaire0 6" xfId="61" xr:uid="{00000000-0005-0000-0000-00003E000000}"/>
    <cellStyle name="Monétaire0 7" xfId="62" xr:uid="{00000000-0005-0000-0000-00003F000000}"/>
    <cellStyle name="Monétaire0 7 2" xfId="63" xr:uid="{00000000-0005-0000-0000-000040000000}"/>
    <cellStyle name="Monétaire0 8" xfId="64" xr:uid="{00000000-0005-0000-0000-000041000000}"/>
    <cellStyle name="Monétaire0 8 2" xfId="65" xr:uid="{00000000-0005-0000-0000-000042000000}"/>
    <cellStyle name="Monétaire0 9" xfId="66" xr:uid="{00000000-0005-0000-0000-000043000000}"/>
    <cellStyle name="Monétaire0 9 2" xfId="67" xr:uid="{00000000-0005-0000-0000-000044000000}"/>
    <cellStyle name="Monétaire0 9 3" xfId="68" xr:uid="{00000000-0005-0000-0000-000045000000}"/>
    <cellStyle name="no dec" xfId="69" xr:uid="{00000000-0005-0000-0000-000046000000}"/>
    <cellStyle name="Normal" xfId="0" builtinId="0"/>
    <cellStyle name="Normal - Style1" xfId="70" xr:uid="{00000000-0005-0000-0000-000048000000}"/>
    <cellStyle name="Normal 10" xfId="71" xr:uid="{00000000-0005-0000-0000-000049000000}"/>
    <cellStyle name="Normal 11" xfId="72" xr:uid="{00000000-0005-0000-0000-00004A000000}"/>
    <cellStyle name="Normal 2" xfId="134" xr:uid="{00000000-0005-0000-0000-00004B000000}"/>
    <cellStyle name="Normal 3" xfId="135" xr:uid="{00000000-0005-0000-0000-00004C000000}"/>
    <cellStyle name="Normal 5" xfId="73" xr:uid="{00000000-0005-0000-0000-00004D000000}"/>
    <cellStyle name="Normal 6" xfId="74" xr:uid="{00000000-0005-0000-0000-00004E000000}"/>
    <cellStyle name="Normal 7" xfId="75" xr:uid="{00000000-0005-0000-0000-00004F000000}"/>
    <cellStyle name="Normal 8" xfId="76" xr:uid="{00000000-0005-0000-0000-000050000000}"/>
    <cellStyle name="Normal 9" xfId="77" xr:uid="{00000000-0005-0000-0000-000051000000}"/>
    <cellStyle name="OUTPUT AMOUNTS" xfId="78" xr:uid="{00000000-0005-0000-0000-000052000000}"/>
    <cellStyle name="OUTPUT COLUMN HEADINGS" xfId="79" xr:uid="{00000000-0005-0000-0000-000053000000}"/>
    <cellStyle name="OUTPUT LINE ITEMS" xfId="80" xr:uid="{00000000-0005-0000-0000-000054000000}"/>
    <cellStyle name="OUTPUT REPORT HEADING" xfId="81" xr:uid="{00000000-0005-0000-0000-000055000000}"/>
    <cellStyle name="OUTPUT REPORT TITLE" xfId="82" xr:uid="{00000000-0005-0000-0000-000056000000}"/>
    <cellStyle name="Percent" xfId="83" builtinId="5"/>
    <cellStyle name="Percent [2]" xfId="84" xr:uid="{00000000-0005-0000-0000-000058000000}"/>
    <cellStyle name="Percent [2] 10" xfId="85" xr:uid="{00000000-0005-0000-0000-000059000000}"/>
    <cellStyle name="Percent [2] 10 2" xfId="86" xr:uid="{00000000-0005-0000-0000-00005A000000}"/>
    <cellStyle name="Percent [2] 2" xfId="87" xr:uid="{00000000-0005-0000-0000-00005B000000}"/>
    <cellStyle name="Percent [2] 2 2" xfId="88" xr:uid="{00000000-0005-0000-0000-00005C000000}"/>
    <cellStyle name="Percent [2] 2 3" xfId="89" xr:uid="{00000000-0005-0000-0000-00005D000000}"/>
    <cellStyle name="Percent [2] 2 4" xfId="90" xr:uid="{00000000-0005-0000-0000-00005E000000}"/>
    <cellStyle name="Percent [2] 2 5" xfId="91" xr:uid="{00000000-0005-0000-0000-00005F000000}"/>
    <cellStyle name="Percent [2] 3" xfId="92" xr:uid="{00000000-0005-0000-0000-000060000000}"/>
    <cellStyle name="Percent [2] 4" xfId="93" xr:uid="{00000000-0005-0000-0000-000061000000}"/>
    <cellStyle name="Percent [2] 4 2" xfId="94" xr:uid="{00000000-0005-0000-0000-000062000000}"/>
    <cellStyle name="Percent [2] 4 3" xfId="95" xr:uid="{00000000-0005-0000-0000-000063000000}"/>
    <cellStyle name="Percent [2] 5" xfId="96" xr:uid="{00000000-0005-0000-0000-000064000000}"/>
    <cellStyle name="Percent [2] 6" xfId="97" xr:uid="{00000000-0005-0000-0000-000065000000}"/>
    <cellStyle name="Percent [2] 7" xfId="98" xr:uid="{00000000-0005-0000-0000-000066000000}"/>
    <cellStyle name="Percent [2] 7 2" xfId="99" xr:uid="{00000000-0005-0000-0000-000067000000}"/>
    <cellStyle name="Percent [2] 8" xfId="100" xr:uid="{00000000-0005-0000-0000-000068000000}"/>
    <cellStyle name="Percent [2] 8 2" xfId="101" xr:uid="{00000000-0005-0000-0000-000069000000}"/>
    <cellStyle name="Percent [2] 9" xfId="102" xr:uid="{00000000-0005-0000-0000-00006A000000}"/>
    <cellStyle name="Percent [2] 9 2" xfId="103" xr:uid="{00000000-0005-0000-0000-00006B000000}"/>
    <cellStyle name="Percent [2] 9 3" xfId="104" xr:uid="{00000000-0005-0000-0000-00006C000000}"/>
    <cellStyle name="Percent 10" xfId="105" xr:uid="{00000000-0005-0000-0000-00006D000000}"/>
    <cellStyle name="Percent 10 2" xfId="106" xr:uid="{00000000-0005-0000-0000-00006E000000}"/>
    <cellStyle name="Percent 11" xfId="107" xr:uid="{00000000-0005-0000-0000-00006F000000}"/>
    <cellStyle name="Percent 11 2" xfId="108" xr:uid="{00000000-0005-0000-0000-000070000000}"/>
    <cellStyle name="Percent 12" xfId="109" xr:uid="{00000000-0005-0000-0000-000071000000}"/>
    <cellStyle name="Percent 12 2" xfId="110" xr:uid="{00000000-0005-0000-0000-000072000000}"/>
    <cellStyle name="Percent 12 3" xfId="111" xr:uid="{00000000-0005-0000-0000-000073000000}"/>
    <cellStyle name="Percent 13" xfId="112" xr:uid="{00000000-0005-0000-0000-000074000000}"/>
    <cellStyle name="Percent 14" xfId="113" xr:uid="{00000000-0005-0000-0000-000075000000}"/>
    <cellStyle name="Percent 15" xfId="114" xr:uid="{00000000-0005-0000-0000-000076000000}"/>
    <cellStyle name="Percent 16" xfId="115" xr:uid="{00000000-0005-0000-0000-000077000000}"/>
    <cellStyle name="Percent 17" xfId="116" xr:uid="{00000000-0005-0000-0000-000078000000}"/>
    <cellStyle name="Percent 17 2" xfId="117" xr:uid="{00000000-0005-0000-0000-000079000000}"/>
    <cellStyle name="Percent 18" xfId="118" xr:uid="{00000000-0005-0000-0000-00007A000000}"/>
    <cellStyle name="Percent 2 2" xfId="119" xr:uid="{00000000-0005-0000-0000-00007B000000}"/>
    <cellStyle name="Percent 7" xfId="120" xr:uid="{00000000-0005-0000-0000-00007C000000}"/>
    <cellStyle name="Percent 7 2" xfId="121" xr:uid="{00000000-0005-0000-0000-00007D000000}"/>
    <cellStyle name="Percent 8" xfId="122" xr:uid="{00000000-0005-0000-0000-00007E000000}"/>
    <cellStyle name="Percent 8 2" xfId="123" xr:uid="{00000000-0005-0000-0000-00007F000000}"/>
    <cellStyle name="Percent 9" xfId="124" xr:uid="{00000000-0005-0000-0000-000080000000}"/>
    <cellStyle name="Percent 9 2" xfId="125" xr:uid="{00000000-0005-0000-0000-000081000000}"/>
    <cellStyle name="port" xfId="126" xr:uid="{00000000-0005-0000-0000-000082000000}"/>
    <cellStyle name="Quantity" xfId="127" xr:uid="{00000000-0005-0000-0000-000083000000}"/>
    <cellStyle name="ResCalc" xfId="128" xr:uid="{00000000-0005-0000-0000-000084000000}"/>
    <cellStyle name="Standard_3.2.1.1_1" xfId="129" xr:uid="{00000000-0005-0000-0000-000085000000}"/>
    <cellStyle name="Style 1" xfId="130" xr:uid="{00000000-0005-0000-0000-000086000000}"/>
    <cellStyle name="TITRE" xfId="131" xr:uid="{00000000-0005-0000-0000-000087000000}"/>
    <cellStyle name="Total" xfId="132" builtinId="25" customBuiltin="1"/>
    <cellStyle name="Virgule fixe" xfId="133" xr:uid="{00000000-0005-0000-0000-000089000000}"/>
  </cellStyles>
  <dxfs count="15">
    <dxf>
      <numFmt numFmtId="164" formatCode="_(* #,##0_);_(* \(#,##0\);_(* &quot;-&quot;??_);_(@_)"/>
    </dxf>
    <dxf>
      <numFmt numFmtId="168" formatCode="_(* #,##0.0_);_(* \(#,##0.0\);_(* &quot;-&quot;??_);_(@_)"/>
    </dxf>
    <dxf>
      <numFmt numFmtId="35" formatCode="_(* #,##0.00_);_(* \(#,##0.00\);_(* &quot;-&quot;??_);_(@_)"/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  <dxf>
      <font>
        <color rgb="FFFFFF00"/>
      </font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pivotCacheDefinition" Target="pivotCache/pivotCacheDefinition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at\Control\Commun-DDI\Commun%20ESM-DCG\Reporting%202001\test\RFTMI12_00ecm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y%20Documents\MobiNiL\buisness\Price%20lists\Alcatel%20Price%20List%2020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y%20Documents\MobiNiL\buisness\Price%20lists\Alcatel%20Price%20List%2020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wael\LOCALS~1\Temp\budget%20200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~1\wael\LOCALS~1\Temp\budget%2020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Reporting%202005\ROBO_2005\ROBO_2005_ECM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TEMP\SP%202002-2005%20source-BASSEM1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TEMP\SP%202002-2005%20source-BASSEM1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LF\Mobinil\Pricing\Forecast%20phase2\BOQ%20euros%202000%20-%20phase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LF\Mobinil\Pricing\Forecast%20phase2\BOQ%20euros%202000%20-%20phase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LF\Mobinil\Pricing\BOQ%20Template%20-%20macros%20-%20cost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LF\Mobinil\Pricing\BOQ%20Template%20-%20macros%20-%20cost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Reporting%202001\rep12_2001\Excel\ROrange12_01Mobilrom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Reporting%202001\rep12_2001\Excel\ROrange12_01Mobilrom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USER\Bassage1\Egypte\arento\EGY80087\Add10\BOQ10_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TC_FINANCE_01\budget\Bilal\FTMI_report%20_July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M-BURO03\INT1-FINANCE\Budget%202002\Business%20Review%2001-2002\source%20BR%2001-2002%2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2021%20Budget\2021%20Departements%20inputs\Technology\31-Aug-2020%202nd%20sub\2021%20Capex%20Template%2030th%20Aug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ctual%20Financials\2014%20Data\Actual%20CAPEX\005-May-14\YTD%20actual%20May%20on%20Capex%20Templ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marei/Desktop/Data%20Lake%20Actual%20&amp;%20Budget%20Capex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marei/AppData/Local/Microsoft/Windows/INetCache/Content.Outlook/JA4BVOWN/7+5%20Digital%20Busget%20Excerise%20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Index"/>
      <sheetName val="Set-up"/>
      <sheetName val="KEY ALLOCATION"/>
      <sheetName val="Total Balance Sheet"/>
      <sheetName val="Total Cash Flow"/>
      <sheetName val="Total Cash Forecast"/>
      <sheetName val="Total Indebtedness"/>
      <sheetName val="MOBILE"/>
      <sheetName val="Key Indicators"/>
      <sheetName val="Part I - Finance"/>
      <sheetName val="P&amp;L"/>
      <sheetName val="Capex"/>
      <sheetName val="Revenue Indicators"/>
      <sheetName val="Acquisition Cost"/>
      <sheetName val="Management Cost"/>
      <sheetName val="Payback"/>
      <sheetName val="Bad Debts"/>
      <sheetName val="Network Costs"/>
      <sheetName val="Administrative Costs"/>
      <sheetName val="Expat. &amp; Consultants"/>
      <sheetName val="Part II - HR"/>
      <sheetName val="HR"/>
      <sheetName val="Part III - Mkt &amp; Com."/>
      <sheetName val="Subscriber Base (1)"/>
      <sheetName val="Subscriber Base (2)"/>
      <sheetName val="Market"/>
      <sheetName val="Distribution"/>
      <sheetName val="Offers"/>
      <sheetName val="VAS"/>
      <sheetName val="Remuneration"/>
      <sheetName val="Traffic"/>
      <sheetName val="Logistic"/>
      <sheetName val="Customer Care"/>
      <sheetName val="Communication"/>
      <sheetName val="Part IV - Technical"/>
      <sheetName val="Budget"/>
      <sheetName val="Project"/>
      <sheetName val="GoS"/>
      <sheetName val="Operation"/>
      <sheetName val="Part V - IT"/>
      <sheetName val="IT Costs"/>
      <sheetName val="Production"/>
      <sheetName val="IT HR"/>
      <sheetName val="#REF"/>
      <sheetName val="Estim101112"/>
      <sheetName val="Fin"/>
      <sheetName val="RFTMI12_00ecms"/>
      <sheetName val="resulprep"/>
      <sheetName val="slide(Revenue &amp; EBITDA)"/>
      <sheetName val="bilan1298"/>
      <sheetName val="XTAB8"/>
      <sheetName val="calcul interconnect"/>
      <sheetName val="action list"/>
      <sheetName val="Area Owner Feedback Category"/>
      <sheetName val="Lists"/>
      <sheetName val="H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BTS Indoor"/>
      <sheetName val="BTS Indoor Extension"/>
      <sheetName val="BTS outdoor"/>
      <sheetName val="BTS Outdoor Extension"/>
      <sheetName val="BTS Additional equipment"/>
      <sheetName val=" Micro BTS"/>
      <sheetName val="BSC_TC"/>
      <sheetName val="GPRS"/>
      <sheetName val="OMC_R"/>
      <sheetName val="Power supply"/>
      <sheetName val="Spares"/>
      <sheetName val="software"/>
      <sheetName val="Installation &amp; Commissioning"/>
      <sheetName val="expert"/>
      <sheetName val="training"/>
      <sheetName val="Dismantling"/>
      <sheetName val="Re-Installation"/>
      <sheetName val="documen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BTS Indoor"/>
      <sheetName val="BTS Indoor Extension"/>
      <sheetName val="BTS outdoor"/>
      <sheetName val="BTS Outdoor Extension"/>
      <sheetName val="BTS Additional equipment"/>
      <sheetName val=" Micro BTS"/>
      <sheetName val="BSC_TC"/>
      <sheetName val="GPRS"/>
      <sheetName val="OMC_R"/>
      <sheetName val="Power supply"/>
      <sheetName val="Spares"/>
      <sheetName val="software"/>
      <sheetName val="Installation &amp; Commissioning"/>
      <sheetName val="expert"/>
      <sheetName val="training"/>
      <sheetName val="Dismantling"/>
      <sheetName val="Re-Installation"/>
      <sheetName val="documentation"/>
      <sheetName val="Area Owner Feedback 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2.38 till 2.75"/>
      <sheetName val="Alcatel_Motorola BTS"/>
      <sheetName val="pm"/>
      <sheetName val="Renewal"/>
      <sheetName val="Software support"/>
      <sheetName val="Optimization Tools"/>
      <sheetName val="Spare Parts"/>
      <sheetName val="Extra Work"/>
      <sheetName val="SMP"/>
      <sheetName val="Motorola Price list"/>
      <sheetName val="Alcatel Price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2.38 till 2.75"/>
      <sheetName val="Alcatel_Motorola BTS"/>
      <sheetName val="pm"/>
      <sheetName val="Renewal"/>
      <sheetName val="Software support"/>
      <sheetName val="Optimization Tools"/>
      <sheetName val="Spare Parts"/>
      <sheetName val="Extra Work"/>
      <sheetName val="SMP"/>
      <sheetName val="Motorola Price list"/>
      <sheetName val="Alcatel Price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"/>
      <sheetName val="menulist"/>
      <sheetName val="INPUT"/>
      <sheetName val="Check up"/>
      <sheetName val="SAC SRC"/>
      <sheetName val="data rev driver"/>
      <sheetName val="rev driver MTD"/>
      <sheetName val="rev driver YTD"/>
      <sheetName val="data rev driver (rated)"/>
      <sheetName val="rev driver MTD (rated)"/>
      <sheetName val="rev driver YTD (rated)"/>
      <sheetName val="PL ORANGE SYNT"/>
      <sheetName val="PL FT SYNT"/>
      <sheetName val="CAPEX SYNT"/>
      <sheetName val="PL ORANGE YTD"/>
      <sheetName val="PL ORANGE MTH"/>
      <sheetName val="PL FT YTD"/>
      <sheetName val="PL FT MTH"/>
      <sheetName val="CAPEX YTD"/>
      <sheetName val="CAPEX MTH"/>
      <sheetName val="SUBS"/>
      <sheetName val="ARPU YTD"/>
      <sheetName val="ARPU MTH"/>
      <sheetName val="SACs SRCs YTD"/>
      <sheetName val="SACs SRCs MTH"/>
      <sheetName val="AUPU YTD"/>
      <sheetName val="AUPU MTH"/>
      <sheetName val="INPUT B06"/>
    </sheetNames>
    <sheetDataSet>
      <sheetData sheetId="0" refreshError="1">
        <row r="10">
          <cell r="D10" t="str">
            <v>0457</v>
          </cell>
        </row>
        <row r="12">
          <cell r="D12" t="str">
            <v>EGP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guide line"/>
      <sheetName val="socio eco env."/>
      <sheetName val="telecom env. "/>
      <sheetName val="Regulatory env. "/>
      <sheetName val="competitor "/>
      <sheetName val="Segmentation (res)"/>
      <sheetName val="Segmentation (bus)"/>
      <sheetName val="Segmentation (res2)"/>
      <sheetName val="Segmentation (bus2)"/>
      <sheetName val="Distribution"/>
      <sheetName val="Life services"/>
      <sheetName val="DAS Rev"/>
      <sheetName val="Strat orientations"/>
      <sheetName val="subscriber (offer)"/>
      <sheetName val="subscriber (segment)"/>
      <sheetName val="3Gdeployment"/>
      <sheetName val="ARPU"/>
      <sheetName val="Usage"/>
      <sheetName val="Roaming (in)"/>
      <sheetName val="Roaming (out)"/>
      <sheetName val="SACs (unit)"/>
      <sheetName val="retention (unit)"/>
      <sheetName val="P&amp;L"/>
      <sheetName val="revenues"/>
      <sheetName val="revenues (res)"/>
      <sheetName val="revenues (bus)"/>
      <sheetName val="cost of network"/>
      <sheetName val="selling"/>
      <sheetName val="administrative"/>
      <sheetName val="SACs"/>
      <sheetName val="capex"/>
      <sheetName val="cashflow "/>
      <sheetName val="balancesheet"/>
      <sheetName val="compar20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>
        <row r="4">
          <cell r="C4">
            <v>2001</v>
          </cell>
          <cell r="D4">
            <v>2002</v>
          </cell>
          <cell r="E4">
            <v>2002</v>
          </cell>
          <cell r="F4">
            <v>2003</v>
          </cell>
          <cell r="G4">
            <v>2004</v>
          </cell>
          <cell r="H4">
            <v>2005</v>
          </cell>
          <cell r="I4">
            <v>2002</v>
          </cell>
          <cell r="J4" t="str">
            <v>var.</v>
          </cell>
          <cell r="O4">
            <v>2001</v>
          </cell>
          <cell r="P4">
            <v>2002</v>
          </cell>
          <cell r="Q4">
            <v>2002</v>
          </cell>
          <cell r="R4">
            <v>2003</v>
          </cell>
          <cell r="S4">
            <v>2004</v>
          </cell>
          <cell r="T4">
            <v>2005</v>
          </cell>
          <cell r="U4">
            <v>2002</v>
          </cell>
          <cell r="V4" t="str">
            <v>var.</v>
          </cell>
        </row>
        <row r="5">
          <cell r="C5" t="str">
            <v xml:space="preserve">Actual </v>
          </cell>
          <cell r="D5" t="str">
            <v>Budget</v>
          </cell>
          <cell r="E5" t="str">
            <v>Forecast</v>
          </cell>
          <cell r="I5" t="str">
            <v>SP</v>
          </cell>
          <cell r="J5" t="str">
            <v>B - SP</v>
          </cell>
          <cell r="L5" t="str">
            <v>in MEUR</v>
          </cell>
          <cell r="O5" t="str">
            <v xml:space="preserve">Actual </v>
          </cell>
          <cell r="P5" t="str">
            <v>Budget</v>
          </cell>
          <cell r="Q5" t="str">
            <v>Forecast</v>
          </cell>
          <cell r="U5" t="str">
            <v>SP</v>
          </cell>
          <cell r="V5" t="str">
            <v>B - SP</v>
          </cell>
        </row>
        <row r="8">
          <cell r="J8">
            <v>0</v>
          </cell>
          <cell r="L8" t="str">
            <v>Non-Network Intangibles</v>
          </cell>
          <cell r="M8" t="str">
            <v>Share capital</v>
          </cell>
          <cell r="U8">
            <v>115</v>
          </cell>
          <cell r="V8">
            <v>-115</v>
          </cell>
        </row>
        <row r="9">
          <cell r="I9">
            <v>87.78993454361067</v>
          </cell>
          <cell r="J9">
            <v>-87.78993454361067</v>
          </cell>
          <cell r="L9" t="str">
            <v>Network Intangibles</v>
          </cell>
          <cell r="M9" t="str">
            <v>Reserves</v>
          </cell>
          <cell r="U9">
            <v>46.806921281321223</v>
          </cell>
          <cell r="V9">
            <v>-46.806921281321223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87.78993454361067</v>
          </cell>
          <cell r="J10">
            <v>-87.78993454361067</v>
          </cell>
          <cell r="L10" t="str">
            <v>Intangible Assets (Net)</v>
          </cell>
          <cell r="M10" t="str">
            <v>Net income period</v>
          </cell>
          <cell r="U10">
            <v>44.261140710795132</v>
          </cell>
          <cell r="V10">
            <v>-44.261140710795132</v>
          </cell>
        </row>
        <row r="11">
          <cell r="I11">
            <v>259.61436891292453</v>
          </cell>
          <cell r="J11">
            <v>-259.61436891292453</v>
          </cell>
          <cell r="L11" t="str">
            <v>Network Assets</v>
          </cell>
          <cell r="M11" t="str">
            <v>SHARE HOLDER EQUITY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206.06806199211636</v>
          </cell>
          <cell r="V11">
            <v>-206.06806199211636</v>
          </cell>
        </row>
        <row r="12">
          <cell r="J12">
            <v>0</v>
          </cell>
          <cell r="L12" t="str">
            <v>Non-Network assets</v>
          </cell>
          <cell r="O12" t="str">
            <v/>
          </cell>
          <cell r="P12" t="str">
            <v/>
          </cell>
          <cell r="Q12" t="str">
            <v/>
          </cell>
          <cell r="S12" t="str">
            <v/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259.61436891292453</v>
          </cell>
          <cell r="J13">
            <v>-259.61436891292453</v>
          </cell>
          <cell r="L13" t="str">
            <v>Tangible Assets (Net)</v>
          </cell>
          <cell r="M13" t="str">
            <v>Minority interest</v>
          </cell>
          <cell r="V13">
            <v>0</v>
          </cell>
        </row>
        <row r="14">
          <cell r="I14">
            <v>7</v>
          </cell>
          <cell r="J14">
            <v>-7</v>
          </cell>
          <cell r="L14" t="str">
            <v>Other LT assets</v>
          </cell>
          <cell r="M14" t="str">
            <v>LT Financial Debt, Excl. Current Portion</v>
          </cell>
          <cell r="U14">
            <v>106.199</v>
          </cell>
          <cell r="V14">
            <v>-106.199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354.40430345653522</v>
          </cell>
          <cell r="J15">
            <v>-354.40430345653522</v>
          </cell>
          <cell r="L15" t="str">
            <v>FIXED ASSETS</v>
          </cell>
          <cell r="M15" t="str">
            <v>LONG TERM LIABILITIES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106.199</v>
          </cell>
          <cell r="V15">
            <v>-106.199</v>
          </cell>
        </row>
        <row r="17">
          <cell r="I17">
            <v>2.0524593144831349</v>
          </cell>
          <cell r="J17">
            <v>-2.0524593144831349</v>
          </cell>
          <cell r="L17" t="str">
            <v>Inventories (Net)</v>
          </cell>
          <cell r="M17" t="str">
            <v>Provisions For Contingent Liabilities &amp; Short Term Provisions</v>
          </cell>
          <cell r="V17">
            <v>0</v>
          </cell>
        </row>
        <row r="18">
          <cell r="I18">
            <v>31.676553651808785</v>
          </cell>
          <cell r="J18">
            <v>-31.676553651808785</v>
          </cell>
          <cell r="L18" t="str">
            <v>Trade Accounts Receivable (Net)</v>
          </cell>
          <cell r="M18" t="str">
            <v>Current Portion of LT Debt &amp; Short Term Borrowings</v>
          </cell>
          <cell r="V18">
            <v>0</v>
          </cell>
        </row>
        <row r="19">
          <cell r="J19">
            <v>0</v>
          </cell>
          <cell r="L19" t="str">
            <v>Other Current Assets (Net)</v>
          </cell>
          <cell r="M19" t="str">
            <v>Trade Account Payables</v>
          </cell>
          <cell r="U19">
            <v>76.884852239707172</v>
          </cell>
          <cell r="V19">
            <v>-76.884852239707172</v>
          </cell>
        </row>
        <row r="20">
          <cell r="I20">
            <v>1.0000000000000426</v>
          </cell>
          <cell r="J20">
            <v>-1.0000000000000426</v>
          </cell>
          <cell r="L20" t="str">
            <v>cash &amp; cash equivalent</v>
          </cell>
          <cell r="M20" t="str">
            <v>Other current liabilities</v>
          </cell>
          <cell r="U20">
            <v>0</v>
          </cell>
          <cell r="V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34.729012966291961</v>
          </cell>
          <cell r="J21">
            <v>-34.729012966291961</v>
          </cell>
          <cell r="L21" t="str">
            <v>CURRENT ASSETS</v>
          </cell>
          <cell r="M21" t="str">
            <v>CURRENT LIABILITIES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76.884852239707172</v>
          </cell>
          <cell r="V21">
            <v>-76.884852239707172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389.13331642282719</v>
          </cell>
          <cell r="J23">
            <v>-389.13331642282719</v>
          </cell>
          <cell r="L23" t="str">
            <v>ASSETS</v>
          </cell>
          <cell r="M23" t="str">
            <v>LIABILITIES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389.15191423182353</v>
          </cell>
          <cell r="V23">
            <v>-389.15191423182353</v>
          </cell>
        </row>
        <row r="25">
          <cell r="L25" t="str">
            <v>Working capital</v>
          </cell>
          <cell r="M25" t="str">
            <v>Rotation (days)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2.0524593144831349</v>
          </cell>
          <cell r="J26">
            <v>-2.0524593144831349</v>
          </cell>
          <cell r="L26" t="str">
            <v>inventories (+)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31.676553651808785</v>
          </cell>
          <cell r="J27">
            <v>-31.676553651808785</v>
          </cell>
          <cell r="L27" t="str">
            <v>receivables (+)</v>
          </cell>
          <cell r="M27" t="str">
            <v>receivables</v>
          </cell>
          <cell r="U27">
            <v>47.348749511492308</v>
          </cell>
          <cell r="V27">
            <v>-47.348749511492308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76.884852239707172</v>
          </cell>
          <cell r="J28">
            <v>-76.884852239707172</v>
          </cell>
          <cell r="L28" t="str">
            <v>payables (+)</v>
          </cell>
          <cell r="M28" t="str">
            <v>payables</v>
          </cell>
          <cell r="U28">
            <v>94.150959012147993</v>
          </cell>
          <cell r="V28">
            <v>-94.150959012147993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L29" t="str">
            <v>other (net) (+)</v>
          </cell>
          <cell r="M29" t="str">
            <v>Operating rotation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-46.802209500655685</v>
          </cell>
          <cell r="V29">
            <v>46.802209500655685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-43.155839273415253</v>
          </cell>
          <cell r="J30">
            <v>43.155839273415253</v>
          </cell>
          <cell r="L30" t="str">
            <v>Working capital</v>
          </cell>
          <cell r="M30" t="str">
            <v>Debt/equity</v>
          </cell>
          <cell r="O30" t="e">
            <v>#DIV/0!</v>
          </cell>
          <cell r="P30" t="e">
            <v>#DIV/0!</v>
          </cell>
          <cell r="Q30" t="e">
            <v>#DIV/0!</v>
          </cell>
          <cell r="R30" t="e">
            <v>#DIV/0!</v>
          </cell>
          <cell r="S30" t="e">
            <v>#DIV/0!</v>
          </cell>
          <cell r="T30" t="e">
            <v>#DIV/0!</v>
          </cell>
          <cell r="U30">
            <v>0.34009030386522532</v>
          </cell>
        </row>
      </sheetData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guide line"/>
      <sheetName val="socio eco env."/>
      <sheetName val="telecom env. "/>
      <sheetName val="Regulatory env. "/>
      <sheetName val="competitor "/>
      <sheetName val="Segmentation (res)"/>
      <sheetName val="Segmentation (bus)"/>
      <sheetName val="Segmentation (res2)"/>
      <sheetName val="Segmentation (bus2)"/>
      <sheetName val="Distribution"/>
      <sheetName val="Life services"/>
      <sheetName val="DAS Rev"/>
      <sheetName val="Strat orientations"/>
      <sheetName val="subscriber (offer)"/>
      <sheetName val="subscriber (segment)"/>
      <sheetName val="3Gdeployment"/>
      <sheetName val="ARPU"/>
      <sheetName val="Usage"/>
      <sheetName val="Roaming (in)"/>
      <sheetName val="Roaming (out)"/>
      <sheetName val="SACs (unit)"/>
      <sheetName val="retention (unit)"/>
      <sheetName val="P&amp;L"/>
      <sheetName val="revenues"/>
      <sheetName val="revenues (res)"/>
      <sheetName val="revenues (bus)"/>
      <sheetName val="cost of network"/>
      <sheetName val="selling"/>
      <sheetName val="administrative"/>
      <sheetName val="SACs"/>
      <sheetName val="capex"/>
      <sheetName val="cashflow "/>
      <sheetName val="balancesheet"/>
      <sheetName val="compar20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4">
          <cell r="C4">
            <v>2001</v>
          </cell>
          <cell r="D4">
            <v>2002</v>
          </cell>
          <cell r="E4">
            <v>2002</v>
          </cell>
          <cell r="F4">
            <v>2003</v>
          </cell>
          <cell r="G4">
            <v>2004</v>
          </cell>
          <cell r="H4">
            <v>2005</v>
          </cell>
          <cell r="I4">
            <v>2002</v>
          </cell>
          <cell r="J4" t="str">
            <v>var.</v>
          </cell>
          <cell r="O4">
            <v>2001</v>
          </cell>
          <cell r="P4">
            <v>2002</v>
          </cell>
          <cell r="Q4">
            <v>2002</v>
          </cell>
          <cell r="R4">
            <v>2003</v>
          </cell>
          <cell r="S4">
            <v>2004</v>
          </cell>
          <cell r="T4">
            <v>2005</v>
          </cell>
          <cell r="U4">
            <v>2002</v>
          </cell>
          <cell r="V4" t="str">
            <v>var.</v>
          </cell>
        </row>
        <row r="5">
          <cell r="C5" t="str">
            <v xml:space="preserve">Actual </v>
          </cell>
          <cell r="D5" t="str">
            <v>Budget</v>
          </cell>
          <cell r="E5" t="str">
            <v>Forecast</v>
          </cell>
          <cell r="I5" t="str">
            <v>SP</v>
          </cell>
          <cell r="J5" t="str">
            <v>B - SP</v>
          </cell>
          <cell r="L5" t="str">
            <v>in MEUR</v>
          </cell>
          <cell r="O5" t="str">
            <v xml:space="preserve">Actual </v>
          </cell>
          <cell r="P5" t="str">
            <v>Budget</v>
          </cell>
          <cell r="Q5" t="str">
            <v>Forecast</v>
          </cell>
          <cell r="U5" t="str">
            <v>SP</v>
          </cell>
          <cell r="V5" t="str">
            <v>B - SP</v>
          </cell>
        </row>
        <row r="8">
          <cell r="J8">
            <v>0</v>
          </cell>
          <cell r="L8" t="str">
            <v>Non-Network Intangibles</v>
          </cell>
          <cell r="M8" t="str">
            <v>Share capital</v>
          </cell>
          <cell r="U8">
            <v>115</v>
          </cell>
          <cell r="V8">
            <v>-115</v>
          </cell>
        </row>
        <row r="9">
          <cell r="I9">
            <v>87.78993454361067</v>
          </cell>
          <cell r="J9">
            <v>-87.78993454361067</v>
          </cell>
          <cell r="L9" t="str">
            <v>Network Intangibles</v>
          </cell>
          <cell r="M9" t="str">
            <v>Reserves</v>
          </cell>
          <cell r="U9">
            <v>46.806921281321223</v>
          </cell>
          <cell r="V9">
            <v>-46.806921281321223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87.78993454361067</v>
          </cell>
          <cell r="J10">
            <v>-87.78993454361067</v>
          </cell>
          <cell r="L10" t="str">
            <v>Intangible Assets (Net)</v>
          </cell>
          <cell r="M10" t="str">
            <v>Net income period</v>
          </cell>
          <cell r="U10">
            <v>44.261140710795132</v>
          </cell>
          <cell r="V10">
            <v>-44.261140710795132</v>
          </cell>
        </row>
        <row r="11">
          <cell r="I11">
            <v>259.61436891292453</v>
          </cell>
          <cell r="J11">
            <v>-259.61436891292453</v>
          </cell>
          <cell r="L11" t="str">
            <v>Network Assets</v>
          </cell>
          <cell r="M11" t="str">
            <v>SHARE HOLDER EQUITY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206.06806199211636</v>
          </cell>
          <cell r="V11">
            <v>-206.06806199211636</v>
          </cell>
        </row>
        <row r="12">
          <cell r="J12">
            <v>0</v>
          </cell>
          <cell r="L12" t="str">
            <v>Non-Network assets</v>
          </cell>
          <cell r="O12" t="str">
            <v/>
          </cell>
          <cell r="P12" t="str">
            <v/>
          </cell>
          <cell r="Q12" t="str">
            <v/>
          </cell>
          <cell r="S12" t="str">
            <v/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259.61436891292453</v>
          </cell>
          <cell r="J13">
            <v>-259.61436891292453</v>
          </cell>
          <cell r="L13" t="str">
            <v>Tangible Assets (Net)</v>
          </cell>
          <cell r="M13" t="str">
            <v>Minority interest</v>
          </cell>
          <cell r="V13">
            <v>0</v>
          </cell>
        </row>
        <row r="14">
          <cell r="I14">
            <v>7</v>
          </cell>
          <cell r="J14">
            <v>-7</v>
          </cell>
          <cell r="L14" t="str">
            <v>Other LT assets</v>
          </cell>
          <cell r="M14" t="str">
            <v>LT Financial Debt, Excl. Current Portion</v>
          </cell>
          <cell r="U14">
            <v>106.199</v>
          </cell>
          <cell r="V14">
            <v>-106.199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354.40430345653522</v>
          </cell>
          <cell r="J15">
            <v>-354.40430345653522</v>
          </cell>
          <cell r="L15" t="str">
            <v>FIXED ASSETS</v>
          </cell>
          <cell r="M15" t="str">
            <v>LONG TERM LIABILITIES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106.199</v>
          </cell>
          <cell r="V15">
            <v>-106.199</v>
          </cell>
        </row>
        <row r="17">
          <cell r="I17">
            <v>2.0524593144831349</v>
          </cell>
          <cell r="J17">
            <v>-2.0524593144831349</v>
          </cell>
          <cell r="L17" t="str">
            <v>Inventories (Net)</v>
          </cell>
          <cell r="M17" t="str">
            <v>Provisions For Contingent Liabilities &amp; Short Term Provisions</v>
          </cell>
          <cell r="V17">
            <v>0</v>
          </cell>
        </row>
        <row r="18">
          <cell r="I18">
            <v>31.676553651808785</v>
          </cell>
          <cell r="J18">
            <v>-31.676553651808785</v>
          </cell>
          <cell r="L18" t="str">
            <v>Trade Accounts Receivable (Net)</v>
          </cell>
          <cell r="M18" t="str">
            <v>Current Portion of LT Debt &amp; Short Term Borrowings</v>
          </cell>
          <cell r="V18">
            <v>0</v>
          </cell>
        </row>
        <row r="19">
          <cell r="J19">
            <v>0</v>
          </cell>
          <cell r="L19" t="str">
            <v>Other Current Assets (Net)</v>
          </cell>
          <cell r="M19" t="str">
            <v>Trade Account Payables</v>
          </cell>
          <cell r="U19">
            <v>76.884852239707172</v>
          </cell>
          <cell r="V19">
            <v>-76.884852239707172</v>
          </cell>
        </row>
        <row r="20">
          <cell r="I20">
            <v>1.0000000000000426</v>
          </cell>
          <cell r="J20">
            <v>-1.0000000000000426</v>
          </cell>
          <cell r="L20" t="str">
            <v>cash &amp; cash equivalent</v>
          </cell>
          <cell r="M20" t="str">
            <v>Other current liabilities</v>
          </cell>
          <cell r="U20">
            <v>0</v>
          </cell>
          <cell r="V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34.729012966291961</v>
          </cell>
          <cell r="J21">
            <v>-34.729012966291961</v>
          </cell>
          <cell r="L21" t="str">
            <v>CURRENT ASSETS</v>
          </cell>
          <cell r="M21" t="str">
            <v>CURRENT LIABILITIES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76.884852239707172</v>
          </cell>
          <cell r="V21">
            <v>-76.884852239707172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389.13331642282719</v>
          </cell>
          <cell r="J23">
            <v>-389.13331642282719</v>
          </cell>
          <cell r="L23" t="str">
            <v>ASSETS</v>
          </cell>
          <cell r="M23" t="str">
            <v>LIABILITIES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389.15191423182353</v>
          </cell>
          <cell r="V23">
            <v>-389.15191423182353</v>
          </cell>
        </row>
        <row r="25">
          <cell r="L25" t="str">
            <v>Working capital</v>
          </cell>
          <cell r="M25" t="str">
            <v>Rotation (days)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2.0524593144831349</v>
          </cell>
          <cell r="J26">
            <v>-2.0524593144831349</v>
          </cell>
          <cell r="L26" t="str">
            <v>inventories (+)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31.676553651808785</v>
          </cell>
          <cell r="J27">
            <v>-31.676553651808785</v>
          </cell>
          <cell r="L27" t="str">
            <v>receivables (+)</v>
          </cell>
          <cell r="M27" t="str">
            <v>receivables</v>
          </cell>
          <cell r="U27">
            <v>47.348749511492308</v>
          </cell>
          <cell r="V27">
            <v>-47.348749511492308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76.884852239707172</v>
          </cell>
          <cell r="J28">
            <v>-76.884852239707172</v>
          </cell>
          <cell r="L28" t="str">
            <v>payables (+)</v>
          </cell>
          <cell r="M28" t="str">
            <v>payables</v>
          </cell>
          <cell r="U28">
            <v>94.150959012147993</v>
          </cell>
          <cell r="V28">
            <v>-94.150959012147993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L29" t="str">
            <v>other (net) (+)</v>
          </cell>
          <cell r="M29" t="str">
            <v>Operating rotation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-46.802209500655685</v>
          </cell>
          <cell r="V29">
            <v>46.802209500655685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-43.155839273415253</v>
          </cell>
          <cell r="J30">
            <v>43.155839273415253</v>
          </cell>
          <cell r="L30" t="str">
            <v>Working capital</v>
          </cell>
          <cell r="M30" t="str">
            <v>Debt/equity</v>
          </cell>
          <cell r="O30" t="e">
            <v>#DIV/0!</v>
          </cell>
          <cell r="P30" t="e">
            <v>#DIV/0!</v>
          </cell>
          <cell r="Q30" t="e">
            <v>#DIV/0!</v>
          </cell>
          <cell r="R30" t="e">
            <v>#DIV/0!</v>
          </cell>
          <cell r="S30" t="e">
            <v>#DIV/0!</v>
          </cell>
          <cell r="T30" t="e">
            <v>#DIV/0!</v>
          </cell>
          <cell r="U30">
            <v>0.34009030386522532</v>
          </cell>
        </row>
      </sheetData>
      <sheetData sheetId="3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5">
          <cell r="G5">
            <v>0.93755999999999995</v>
          </cell>
        </row>
        <row r="6">
          <cell r="G6">
            <v>6.5595699999999999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5">
          <cell r="G5">
            <v>0.93755999999999995</v>
          </cell>
        </row>
        <row r="6">
          <cell r="G6">
            <v>6.5595699999999999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2">
          <cell r="G2">
            <v>5.8989000000000003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umm"/>
      <sheetName val="Summ2"/>
      <sheetName val="Summ1"/>
      <sheetName val="BTS Ind"/>
      <sheetName val="BTS Ind Ext"/>
      <sheetName val="BTS Outd&amp;µ"/>
      <sheetName val="BTS Outd&amp;µ Ext"/>
      <sheetName val="BTS-misc"/>
      <sheetName val="software"/>
      <sheetName val="BSC_TC"/>
      <sheetName val="BSC Extension"/>
      <sheetName val="OMC_R"/>
      <sheetName val="OMC_R2"/>
      <sheetName val="A985NPA"/>
      <sheetName val="A956RNO"/>
      <sheetName val="Spares"/>
      <sheetName val="test_bed"/>
      <sheetName val="services"/>
      <sheetName val="documentation"/>
      <sheetName val="training"/>
      <sheetName val="expert"/>
      <sheetName val="EVOL"/>
      <sheetName val="Breakdown"/>
      <sheetName val="Reinstal"/>
      <sheetName val="Dismantling"/>
      <sheetName val="HDSL"/>
    </sheetNames>
    <sheetDataSet>
      <sheetData sheetId="0" refreshError="1"/>
      <sheetData sheetId="1" refreshError="1"/>
      <sheetData sheetId="2" refreshError="1"/>
      <sheetData sheetId="3" refreshError="1">
        <row r="2">
          <cell r="G2">
            <v>5.8989000000000003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etup"/>
      <sheetName val="executive(1)"/>
      <sheetName val="summary"/>
      <sheetName val="P&amp;L (statutory)"/>
      <sheetName val="P&amp;L (input)"/>
      <sheetName val="Capex"/>
      <sheetName val="Balancesheet"/>
      <sheetName val="cashflow"/>
      <sheetName val="market"/>
      <sheetName val="Subscriber"/>
      <sheetName val="Subscriber (offers)"/>
      <sheetName val="Subscriber (segments)"/>
      <sheetName val="Subscriber (channels)"/>
      <sheetName val="churn"/>
      <sheetName val="ARPU"/>
      <sheetName val="SACS"/>
      <sheetName val="Usage"/>
      <sheetName val="HRessource"/>
      <sheetName val="technical KPI"/>
      <sheetName val="customer care KPI"/>
      <sheetName val="prod ratio"/>
    </sheetNames>
    <sheetDataSet>
      <sheetData sheetId="0"/>
      <sheetData sheetId="1" refreshError="1">
        <row r="10">
          <cell r="T10">
            <v>12</v>
          </cell>
        </row>
        <row r="11">
          <cell r="J11">
            <v>11</v>
          </cell>
          <cell r="S11" t="str">
            <v>2001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etup"/>
      <sheetName val="executive(1)"/>
      <sheetName val="summary"/>
      <sheetName val="P&amp;L (statutory)"/>
      <sheetName val="P&amp;L (input)"/>
      <sheetName val="Capex"/>
      <sheetName val="Balancesheet"/>
      <sheetName val="cashflow"/>
      <sheetName val="market"/>
      <sheetName val="Subscriber"/>
      <sheetName val="Subscriber (offers)"/>
      <sheetName val="Subscriber (segments)"/>
      <sheetName val="Subscriber (channels)"/>
      <sheetName val="churn"/>
      <sheetName val="ARPU"/>
      <sheetName val="SACS"/>
      <sheetName val="Usage"/>
      <sheetName val="HRessource"/>
      <sheetName val="technical KPI"/>
      <sheetName val="customer care KPI"/>
      <sheetName val="prod ratio"/>
    </sheetNames>
    <sheetDataSet>
      <sheetData sheetId="0" refreshError="1"/>
      <sheetData sheetId="1" refreshError="1">
        <row r="10">
          <cell r="T10">
            <v>12</v>
          </cell>
        </row>
        <row r="11">
          <cell r="J11">
            <v>11</v>
          </cell>
          <cell r="S11" t="str">
            <v>2001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"/>
    </sheetNames>
    <sheetDataSet>
      <sheetData sheetId="0" refreshError="1">
        <row r="7">
          <cell r="G7">
            <v>3.5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HIGHLIGHTS"/>
      <sheetName val="Capex"/>
      <sheetName val="FTMI P&amp;L"/>
      <sheetName val="ECMS Cash Flows"/>
      <sheetName val="ECMS BALANCE SHEET"/>
    </sheetNames>
    <sheetDataSet>
      <sheetData sheetId="0" refreshError="1">
        <row r="4">
          <cell r="D4">
            <v>36342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"/>
      <sheetName val="revenues"/>
      <sheetName val="cost of network"/>
      <sheetName val="selling"/>
      <sheetName val="administrative"/>
      <sheetName val="SACs"/>
      <sheetName val="capex"/>
      <sheetName val="cashflow"/>
      <sheetName val="balancesheet"/>
      <sheetName val="chart (2)"/>
      <sheetName val="Forecast"/>
      <sheetName val="KPI 1 (forecast)"/>
      <sheetName val="KPI 2 (forecast)"/>
      <sheetName val="P&amp;L (forecast)"/>
      <sheetName val="Revenues (forecast)"/>
      <sheetName val="cost of network (forecast)"/>
      <sheetName val="selling (forecast)"/>
      <sheetName val="administrative (forecast)"/>
      <sheetName val="SACs (forecast)"/>
      <sheetName val="capex (forecast)"/>
      <sheetName val="cashflow (forecast)"/>
      <sheetName val="Budget"/>
      <sheetName val="economic"/>
      <sheetName val="competition"/>
      <sheetName val="market growth"/>
      <sheetName val="Breakdown segment"/>
      <sheetName val="inactive subs"/>
      <sheetName val="chart"/>
      <sheetName val="Aged ARPU"/>
      <sheetName val="SACs (unit)"/>
      <sheetName val="retention (unit)"/>
      <sheetName val="Synergies aggregation"/>
      <sheetName val="Synergies KPIs"/>
      <sheetName val="Customer Equipment Sourcing"/>
      <sheetName val="staff"/>
      <sheetName val="Key Obj"/>
      <sheetName val="BER C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9">
          <cell r="C19">
            <v>43.5</v>
          </cell>
        </row>
        <row r="22">
          <cell r="C22">
            <v>43.68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19">
          <cell r="K19">
            <v>48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s Euro"/>
      <sheetName val="Projects USD"/>
      <sheetName val="Projects EGP"/>
      <sheetName val="Projects Consolidation"/>
      <sheetName val="Rates"/>
      <sheetName val="finance email"/>
      <sheetName val="Sheet3"/>
      <sheetName val="Budget comparison "/>
      <sheetName val="summary"/>
      <sheetName val="analysis"/>
      <sheetName val="Jan Actual breakdown"/>
      <sheetName val="Feb Actual Breakdown "/>
      <sheetName val="March  Actual Breakdown "/>
      <sheetName val="April Actual Breakdown"/>
      <sheetName val="May Actual Breakdown"/>
      <sheetName val="June Actual Breakdown"/>
    </sheetNames>
    <sheetDataSet>
      <sheetData sheetId="0"/>
      <sheetData sheetId="1"/>
      <sheetData sheetId="2"/>
      <sheetData sheetId="3">
        <row r="1">
          <cell r="S1" t="str">
            <v>q</v>
          </cell>
        </row>
        <row r="2"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S2" t="str">
            <v>q</v>
          </cell>
        </row>
        <row r="3">
          <cell r="C3" t="str">
            <v>NEW Description</v>
          </cell>
          <cell r="D3">
            <v>44197</v>
          </cell>
          <cell r="E3">
            <v>44228</v>
          </cell>
          <cell r="F3">
            <v>44256</v>
          </cell>
          <cell r="G3">
            <v>44287</v>
          </cell>
          <cell r="H3">
            <v>44317</v>
          </cell>
          <cell r="I3">
            <v>44348</v>
          </cell>
          <cell r="J3">
            <v>44378</v>
          </cell>
          <cell r="K3">
            <v>44409</v>
          </cell>
          <cell r="L3">
            <v>44440</v>
          </cell>
          <cell r="M3">
            <v>44470</v>
          </cell>
          <cell r="N3">
            <v>44501</v>
          </cell>
          <cell r="O3">
            <v>44531</v>
          </cell>
          <cell r="P3" t="str">
            <v>Total</v>
          </cell>
          <cell r="Q3" t="str">
            <v>*</v>
          </cell>
          <cell r="R3">
            <v>0</v>
          </cell>
          <cell r="S3" t="str">
            <v>q</v>
          </cell>
        </row>
        <row r="4"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 t="str">
            <v>-</v>
          </cell>
          <cell r="R4">
            <v>0</v>
          </cell>
          <cell r="S4" t="str">
            <v>**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 t="str">
            <v>-</v>
          </cell>
          <cell r="S5" t="str">
            <v>***</v>
          </cell>
        </row>
        <row r="6">
          <cell r="C6" t="str">
            <v>Mobile RAN infrast excl technical environment (-&gt;2010/02)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 t="str">
            <v>T</v>
          </cell>
          <cell r="R6">
            <v>0</v>
          </cell>
          <cell r="S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 t="str">
            <v>-</v>
          </cell>
          <cell r="S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 t="str">
            <v>-</v>
          </cell>
          <cell r="S8">
            <v>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 t="str">
            <v>-</v>
          </cell>
          <cell r="S9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 t="str">
            <v>-</v>
          </cell>
          <cell r="S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 t="str">
            <v>-</v>
          </cell>
          <cell r="S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 t="str">
            <v>-</v>
          </cell>
          <cell r="S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 t="str">
            <v>-</v>
          </cell>
          <cell r="S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 t="str">
            <v>-</v>
          </cell>
          <cell r="S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 t="str">
            <v>-</v>
          </cell>
          <cell r="S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 t="str">
            <v>-</v>
          </cell>
          <cell r="S16">
            <v>0</v>
          </cell>
        </row>
        <row r="17">
          <cell r="C17" t="str">
            <v>Mobile RAN infrast: Passive equipment, Civil works &amp; Site acquisition</v>
          </cell>
          <cell r="D17">
            <v>25600000</v>
          </cell>
          <cell r="E17">
            <v>20600000</v>
          </cell>
          <cell r="F17">
            <v>19100000</v>
          </cell>
          <cell r="G17">
            <v>14900000</v>
          </cell>
          <cell r="H17">
            <v>20600000</v>
          </cell>
          <cell r="I17">
            <v>20600000</v>
          </cell>
          <cell r="J17">
            <v>17890000</v>
          </cell>
          <cell r="K17">
            <v>18890000</v>
          </cell>
          <cell r="L17">
            <v>18890000</v>
          </cell>
          <cell r="M17">
            <v>21890000</v>
          </cell>
          <cell r="N17">
            <v>18890000</v>
          </cell>
          <cell r="O17">
            <v>23890000</v>
          </cell>
          <cell r="P17">
            <v>241740000</v>
          </cell>
          <cell r="Q17" t="str">
            <v>T</v>
          </cell>
          <cell r="R17">
            <v>0</v>
          </cell>
          <cell r="S17">
            <v>0</v>
          </cell>
        </row>
        <row r="18">
          <cell r="C18" t="str">
            <v>Sites Rollout (Coverage)</v>
          </cell>
          <cell r="D18">
            <v>10700000</v>
          </cell>
          <cell r="E18">
            <v>5700000</v>
          </cell>
          <cell r="F18">
            <v>5700000</v>
          </cell>
          <cell r="G18">
            <v>5000000</v>
          </cell>
          <cell r="H18">
            <v>10700000</v>
          </cell>
          <cell r="I18">
            <v>10700000</v>
          </cell>
          <cell r="J18">
            <v>8905000</v>
          </cell>
          <cell r="K18">
            <v>8905000</v>
          </cell>
          <cell r="L18">
            <v>8905000</v>
          </cell>
          <cell r="M18">
            <v>8905000</v>
          </cell>
          <cell r="N18">
            <v>8905000</v>
          </cell>
          <cell r="O18">
            <v>8905000</v>
          </cell>
          <cell r="P18">
            <v>101930000</v>
          </cell>
          <cell r="Q18" t="str">
            <v>-</v>
          </cell>
          <cell r="S18" t="str">
            <v>Deployment</v>
          </cell>
        </row>
        <row r="19">
          <cell r="C19" t="str">
            <v xml:space="preserve">Sites Modification </v>
          </cell>
          <cell r="D19">
            <v>500000</v>
          </cell>
          <cell r="E19">
            <v>500000</v>
          </cell>
          <cell r="F19">
            <v>500000</v>
          </cell>
          <cell r="G19">
            <v>500000</v>
          </cell>
          <cell r="H19">
            <v>500000</v>
          </cell>
          <cell r="I19">
            <v>500000</v>
          </cell>
          <cell r="J19">
            <v>325000</v>
          </cell>
          <cell r="K19">
            <v>325000</v>
          </cell>
          <cell r="L19">
            <v>325000</v>
          </cell>
          <cell r="M19">
            <v>325000</v>
          </cell>
          <cell r="N19">
            <v>325000</v>
          </cell>
          <cell r="O19">
            <v>325000</v>
          </cell>
          <cell r="P19">
            <v>4950000</v>
          </cell>
          <cell r="Q19" t="str">
            <v>-</v>
          </cell>
          <cell r="S19" t="str">
            <v>Deployment</v>
          </cell>
        </row>
        <row r="20">
          <cell r="C20" t="str">
            <v>Fixed project modification</v>
          </cell>
          <cell r="D20">
            <v>400000</v>
          </cell>
          <cell r="E20">
            <v>400000</v>
          </cell>
          <cell r="F20">
            <v>400000</v>
          </cell>
          <cell r="G20">
            <v>400000</v>
          </cell>
          <cell r="H20">
            <v>400000</v>
          </cell>
          <cell r="I20">
            <v>400000</v>
          </cell>
          <cell r="J20">
            <v>260000</v>
          </cell>
          <cell r="K20">
            <v>260000</v>
          </cell>
          <cell r="L20">
            <v>260000</v>
          </cell>
          <cell r="M20">
            <v>260000</v>
          </cell>
          <cell r="N20">
            <v>260000</v>
          </cell>
          <cell r="O20">
            <v>260000</v>
          </cell>
          <cell r="P20">
            <v>3960000</v>
          </cell>
          <cell r="Q20" t="str">
            <v>-</v>
          </cell>
          <cell r="S20" t="str">
            <v xml:space="preserve"> Core </v>
          </cell>
        </row>
        <row r="21">
          <cell r="C21" t="str">
            <v>Overhule &amp; Repair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-</v>
          </cell>
          <cell r="S21">
            <v>0</v>
          </cell>
        </row>
        <row r="22">
          <cell r="C22" t="str">
            <v>Tower Repair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-</v>
          </cell>
          <cell r="S22">
            <v>0</v>
          </cell>
        </row>
        <row r="23">
          <cell r="C23" t="str">
            <v>Sites Rollout (Traffic)</v>
          </cell>
          <cell r="D23">
            <v>10000000</v>
          </cell>
          <cell r="E23">
            <v>10000000</v>
          </cell>
          <cell r="F23">
            <v>10000000</v>
          </cell>
          <cell r="G23">
            <v>5000000</v>
          </cell>
          <cell r="H23">
            <v>5000000</v>
          </cell>
          <cell r="I23">
            <v>5000000</v>
          </cell>
          <cell r="J23">
            <v>5800000</v>
          </cell>
          <cell r="K23">
            <v>6800000</v>
          </cell>
          <cell r="L23">
            <v>6800000</v>
          </cell>
          <cell r="M23">
            <v>9800000</v>
          </cell>
          <cell r="N23">
            <v>6800000</v>
          </cell>
          <cell r="O23">
            <v>11800000</v>
          </cell>
          <cell r="P23">
            <v>92800000</v>
          </cell>
          <cell r="Q23" t="str">
            <v>-</v>
          </cell>
          <cell r="S23" t="str">
            <v>Deployment</v>
          </cell>
        </row>
        <row r="24">
          <cell r="C24" t="str">
            <v>DCS Modification</v>
          </cell>
          <cell r="D24">
            <v>1500000</v>
          </cell>
          <cell r="E24">
            <v>1500000</v>
          </cell>
          <cell r="F24">
            <v>0</v>
          </cell>
          <cell r="G24">
            <v>1500000</v>
          </cell>
          <cell r="H24">
            <v>1500000</v>
          </cell>
          <cell r="I24">
            <v>1500000</v>
          </cell>
          <cell r="J24">
            <v>975000</v>
          </cell>
          <cell r="K24">
            <v>975000</v>
          </cell>
          <cell r="L24">
            <v>975000</v>
          </cell>
          <cell r="M24">
            <v>975000</v>
          </cell>
          <cell r="N24">
            <v>975000</v>
          </cell>
          <cell r="O24">
            <v>975000</v>
          </cell>
          <cell r="P24">
            <v>13350000</v>
          </cell>
          <cell r="Q24" t="str">
            <v>-</v>
          </cell>
          <cell r="S24" t="str">
            <v>Deployment</v>
          </cell>
        </row>
        <row r="25">
          <cell r="C25" t="str">
            <v>Deployment LTE</v>
          </cell>
          <cell r="D25">
            <v>2500000</v>
          </cell>
          <cell r="E25">
            <v>2500000</v>
          </cell>
          <cell r="F25">
            <v>2500000</v>
          </cell>
          <cell r="G25">
            <v>2500000</v>
          </cell>
          <cell r="H25">
            <v>2500000</v>
          </cell>
          <cell r="I25">
            <v>2500000</v>
          </cell>
          <cell r="J25">
            <v>1625000</v>
          </cell>
          <cell r="K25">
            <v>1625000</v>
          </cell>
          <cell r="L25">
            <v>1625000</v>
          </cell>
          <cell r="M25">
            <v>1625000</v>
          </cell>
          <cell r="N25">
            <v>1625000</v>
          </cell>
          <cell r="O25">
            <v>1625000</v>
          </cell>
          <cell r="P25">
            <v>24750000</v>
          </cell>
          <cell r="Q25" t="str">
            <v>-</v>
          </cell>
          <cell r="S25" t="str">
            <v xml:space="preserve"> Deployment 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 t="str">
            <v>-</v>
          </cell>
          <cell r="S26">
            <v>0</v>
          </cell>
        </row>
        <row r="27">
          <cell r="C27" t="str">
            <v>Mobile RAN infrast - Civil works, shelters, pylons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 t="str">
            <v>T</v>
          </cell>
          <cell r="R27">
            <v>0</v>
          </cell>
          <cell r="S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 t="str">
            <v>-</v>
          </cell>
          <cell r="S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 t="str">
            <v>-</v>
          </cell>
          <cell r="S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 t="str">
            <v>-</v>
          </cell>
          <cell r="S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 t="str">
            <v>-</v>
          </cell>
          <cell r="S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 t="str">
            <v>-</v>
          </cell>
          <cell r="S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 t="str">
            <v>-</v>
          </cell>
          <cell r="S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 t="str">
            <v>-</v>
          </cell>
          <cell r="S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 t="str">
            <v>-</v>
          </cell>
          <cell r="S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-</v>
          </cell>
          <cell r="S36">
            <v>0</v>
          </cell>
        </row>
        <row r="37">
          <cell r="C37" t="str">
            <v>Mobile RAN infrast - Antennas &amp; feeders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 t="str">
            <v>T</v>
          </cell>
          <cell r="R37">
            <v>0</v>
          </cell>
          <cell r="S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-</v>
          </cell>
          <cell r="S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 t="str">
            <v>-</v>
          </cell>
          <cell r="S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-</v>
          </cell>
          <cell r="S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-</v>
          </cell>
          <cell r="S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-</v>
          </cell>
          <cell r="S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 t="str">
            <v>-</v>
          </cell>
          <cell r="S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-</v>
          </cell>
          <cell r="S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-</v>
          </cell>
          <cell r="S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-</v>
          </cell>
          <cell r="S46">
            <v>0</v>
          </cell>
        </row>
        <row r="47">
          <cell r="C47" t="str">
            <v>Mobile RAN infrast - Technical environment</v>
          </cell>
          <cell r="D47">
            <v>9964300</v>
          </cell>
          <cell r="E47">
            <v>9964300</v>
          </cell>
          <cell r="F47">
            <v>35964300</v>
          </cell>
          <cell r="G47">
            <v>14964300</v>
          </cell>
          <cell r="H47">
            <v>38964300</v>
          </cell>
          <cell r="I47">
            <v>13964300</v>
          </cell>
          <cell r="J47">
            <v>35176795</v>
          </cell>
          <cell r="K47">
            <v>9176795</v>
          </cell>
          <cell r="L47">
            <v>23676795</v>
          </cell>
          <cell r="M47">
            <v>53376795</v>
          </cell>
          <cell r="N47">
            <v>10376795</v>
          </cell>
          <cell r="O47">
            <v>10176795</v>
          </cell>
          <cell r="P47">
            <v>265746570</v>
          </cell>
          <cell r="Q47" t="str">
            <v>T</v>
          </cell>
          <cell r="R47">
            <v>0</v>
          </cell>
          <cell r="S47">
            <v>0</v>
          </cell>
        </row>
        <row r="48">
          <cell r="C48" t="str">
            <v xml:space="preserve">Solar Energy </v>
          </cell>
          <cell r="D48">
            <v>900000</v>
          </cell>
          <cell r="E48">
            <v>900000</v>
          </cell>
          <cell r="F48">
            <v>900000</v>
          </cell>
          <cell r="G48">
            <v>900000</v>
          </cell>
          <cell r="H48">
            <v>900000</v>
          </cell>
          <cell r="I48">
            <v>900000</v>
          </cell>
          <cell r="J48">
            <v>585000</v>
          </cell>
          <cell r="K48">
            <v>585000</v>
          </cell>
          <cell r="L48">
            <v>585000</v>
          </cell>
          <cell r="M48">
            <v>585000</v>
          </cell>
          <cell r="N48">
            <v>585000</v>
          </cell>
          <cell r="O48">
            <v>585000</v>
          </cell>
          <cell r="P48">
            <v>8910000</v>
          </cell>
          <cell r="Q48" t="str">
            <v>-</v>
          </cell>
          <cell r="S48" t="str">
            <v>Deployment</v>
          </cell>
        </row>
        <row r="49">
          <cell r="C49" t="str">
            <v xml:space="preserve">AC Spare Parts </v>
          </cell>
          <cell r="D49">
            <v>385000</v>
          </cell>
          <cell r="E49">
            <v>385000</v>
          </cell>
          <cell r="F49">
            <v>385000</v>
          </cell>
          <cell r="G49">
            <v>385000</v>
          </cell>
          <cell r="H49">
            <v>385000</v>
          </cell>
          <cell r="I49">
            <v>385000</v>
          </cell>
          <cell r="J49">
            <v>250250</v>
          </cell>
          <cell r="K49">
            <v>250250</v>
          </cell>
          <cell r="L49">
            <v>250250</v>
          </cell>
          <cell r="M49">
            <v>250250</v>
          </cell>
          <cell r="N49">
            <v>250250</v>
          </cell>
          <cell r="O49">
            <v>250250</v>
          </cell>
          <cell r="P49">
            <v>3811500</v>
          </cell>
          <cell r="Q49" t="str">
            <v>-</v>
          </cell>
          <cell r="S49" t="str">
            <v>Energy</v>
          </cell>
        </row>
        <row r="50">
          <cell r="C50" t="str">
            <v>Portable Generators and stablizers</v>
          </cell>
          <cell r="D50">
            <v>150000</v>
          </cell>
          <cell r="E50">
            <v>150000</v>
          </cell>
          <cell r="F50">
            <v>150000</v>
          </cell>
          <cell r="G50">
            <v>150000</v>
          </cell>
          <cell r="H50">
            <v>150000</v>
          </cell>
          <cell r="I50">
            <v>150000</v>
          </cell>
          <cell r="J50">
            <v>97500</v>
          </cell>
          <cell r="K50">
            <v>97500</v>
          </cell>
          <cell r="L50">
            <v>97500</v>
          </cell>
          <cell r="M50">
            <v>97500</v>
          </cell>
          <cell r="N50">
            <v>97500</v>
          </cell>
          <cell r="O50">
            <v>97500</v>
          </cell>
          <cell r="P50">
            <v>1485000</v>
          </cell>
          <cell r="Q50" t="str">
            <v>-</v>
          </cell>
          <cell r="S50" t="str">
            <v>Deployment</v>
          </cell>
        </row>
        <row r="51">
          <cell r="C51" t="str">
            <v xml:space="preserve">Rectifier Spares </v>
          </cell>
          <cell r="D51">
            <v>1029300</v>
          </cell>
          <cell r="E51">
            <v>1029300</v>
          </cell>
          <cell r="F51">
            <v>1029300</v>
          </cell>
          <cell r="G51">
            <v>1029300</v>
          </cell>
          <cell r="H51">
            <v>1029300</v>
          </cell>
          <cell r="I51">
            <v>1029300</v>
          </cell>
          <cell r="J51">
            <v>669045</v>
          </cell>
          <cell r="K51">
            <v>669045</v>
          </cell>
          <cell r="L51">
            <v>669045</v>
          </cell>
          <cell r="M51">
            <v>669045</v>
          </cell>
          <cell r="N51">
            <v>669045</v>
          </cell>
          <cell r="O51">
            <v>669045</v>
          </cell>
          <cell r="P51">
            <v>10190070</v>
          </cell>
          <cell r="Q51" t="str">
            <v>-</v>
          </cell>
          <cell r="S51" t="str">
            <v>Deployment</v>
          </cell>
        </row>
        <row r="52">
          <cell r="C52" t="str">
            <v>Remote environmental and power site monitoring</v>
          </cell>
          <cell r="D52">
            <v>100000</v>
          </cell>
          <cell r="E52">
            <v>100000</v>
          </cell>
          <cell r="F52">
            <v>100000</v>
          </cell>
          <cell r="G52">
            <v>100000</v>
          </cell>
          <cell r="H52">
            <v>100000</v>
          </cell>
          <cell r="I52">
            <v>100000</v>
          </cell>
          <cell r="J52">
            <v>65000</v>
          </cell>
          <cell r="K52">
            <v>65000</v>
          </cell>
          <cell r="L52">
            <v>65000</v>
          </cell>
          <cell r="M52">
            <v>65000</v>
          </cell>
          <cell r="N52">
            <v>65000</v>
          </cell>
          <cell r="O52">
            <v>65000</v>
          </cell>
          <cell r="P52">
            <v>990000</v>
          </cell>
          <cell r="Q52" t="str">
            <v>-</v>
          </cell>
          <cell r="S52" t="str">
            <v>Deployment</v>
          </cell>
        </row>
        <row r="53">
          <cell r="C53" t="str">
            <v>Power &amp; Enviromental equipment</v>
          </cell>
          <cell r="D53">
            <v>3200000</v>
          </cell>
          <cell r="E53">
            <v>3200000</v>
          </cell>
          <cell r="F53">
            <v>3200000</v>
          </cell>
          <cell r="G53">
            <v>3200000</v>
          </cell>
          <cell r="H53">
            <v>3200000</v>
          </cell>
          <cell r="I53">
            <v>3200000</v>
          </cell>
          <cell r="J53">
            <v>2080000</v>
          </cell>
          <cell r="K53">
            <v>2080000</v>
          </cell>
          <cell r="L53">
            <v>2080000</v>
          </cell>
          <cell r="M53">
            <v>2080000</v>
          </cell>
          <cell r="N53">
            <v>2080000</v>
          </cell>
          <cell r="O53">
            <v>2080000</v>
          </cell>
          <cell r="P53">
            <v>31680000</v>
          </cell>
          <cell r="Q53" t="str">
            <v>-</v>
          </cell>
          <cell r="S53" t="str">
            <v>Deployment</v>
          </cell>
        </row>
        <row r="54">
          <cell r="C54" t="str">
            <v>Generators</v>
          </cell>
          <cell r="D54">
            <v>2200000</v>
          </cell>
          <cell r="E54">
            <v>2200000</v>
          </cell>
          <cell r="F54">
            <v>2200000</v>
          </cell>
          <cell r="G54">
            <v>2200000</v>
          </cell>
          <cell r="H54">
            <v>2200000</v>
          </cell>
          <cell r="I54">
            <v>2200000</v>
          </cell>
          <cell r="J54">
            <v>1430000</v>
          </cell>
          <cell r="K54">
            <v>1430000</v>
          </cell>
          <cell r="L54">
            <v>1430000</v>
          </cell>
          <cell r="M54">
            <v>1430000</v>
          </cell>
          <cell r="N54">
            <v>1430000</v>
          </cell>
          <cell r="O54">
            <v>1430000</v>
          </cell>
          <cell r="P54">
            <v>21780000</v>
          </cell>
          <cell r="Q54" t="str">
            <v>-</v>
          </cell>
          <cell r="S54" t="str">
            <v>Deployment</v>
          </cell>
        </row>
        <row r="55">
          <cell r="C55" t="str">
            <v>Network Energy</v>
          </cell>
          <cell r="D55">
            <v>2000000</v>
          </cell>
          <cell r="E55">
            <v>2000000</v>
          </cell>
          <cell r="F55">
            <v>28000000</v>
          </cell>
          <cell r="G55">
            <v>7000000</v>
          </cell>
          <cell r="H55">
            <v>31000000</v>
          </cell>
          <cell r="I55">
            <v>6000000</v>
          </cell>
          <cell r="J55">
            <v>30000000</v>
          </cell>
          <cell r="K55">
            <v>4000000</v>
          </cell>
          <cell r="L55">
            <v>18500000</v>
          </cell>
          <cell r="M55">
            <v>48200000</v>
          </cell>
          <cell r="N55">
            <v>5200000</v>
          </cell>
          <cell r="O55">
            <v>5000000</v>
          </cell>
          <cell r="P55">
            <v>186900000</v>
          </cell>
          <cell r="Q55" t="str">
            <v>-</v>
          </cell>
          <cell r="S55" t="str">
            <v xml:space="preserve"> Energy 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-</v>
          </cell>
          <cell r="S56">
            <v>0</v>
          </cell>
        </row>
        <row r="57">
          <cell r="C57" t="str">
            <v>Mobile RAN - Planification, architecture, build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T</v>
          </cell>
          <cell r="R57">
            <v>0</v>
          </cell>
          <cell r="S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-</v>
          </cell>
          <cell r="S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-</v>
          </cell>
          <cell r="S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-</v>
          </cell>
          <cell r="S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-</v>
          </cell>
          <cell r="S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-</v>
          </cell>
          <cell r="S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-</v>
          </cell>
          <cell r="S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-</v>
          </cell>
          <cell r="S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-</v>
          </cell>
          <cell r="S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-</v>
          </cell>
          <cell r="S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-</v>
          </cell>
          <cell r="S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-</v>
          </cell>
          <cell r="S68">
            <v>0</v>
          </cell>
        </row>
        <row r="69">
          <cell r="C69" t="str">
            <v>Mobile RAN - 2G/EDGE equipments &amp; releases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T</v>
          </cell>
          <cell r="R69">
            <v>0</v>
          </cell>
          <cell r="S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-</v>
          </cell>
          <cell r="S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 t="str">
            <v>-</v>
          </cell>
          <cell r="S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-</v>
          </cell>
          <cell r="S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-</v>
          </cell>
          <cell r="S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-</v>
          </cell>
          <cell r="S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-</v>
          </cell>
          <cell r="S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-</v>
          </cell>
          <cell r="S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-</v>
          </cell>
          <cell r="S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 t="str">
            <v>-</v>
          </cell>
          <cell r="S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 t="str">
            <v>-</v>
          </cell>
          <cell r="S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 t="str">
            <v>-</v>
          </cell>
          <cell r="S80">
            <v>0</v>
          </cell>
        </row>
        <row r="81">
          <cell r="C81" t="str">
            <v>Mobile RAN - 3G/HSPA equipments &amp; releases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 t="str">
            <v>T</v>
          </cell>
          <cell r="R81">
            <v>0</v>
          </cell>
          <cell r="S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 t="str">
            <v>-</v>
          </cell>
          <cell r="R82">
            <v>0</v>
          </cell>
          <cell r="S82" t="str">
            <v>q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 t="str">
            <v>-</v>
          </cell>
          <cell r="R83">
            <v>0</v>
          </cell>
          <cell r="S83" t="str">
            <v>q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 t="str">
            <v>-</v>
          </cell>
          <cell r="R84">
            <v>0</v>
          </cell>
          <cell r="S84" t="str">
            <v>q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 t="str">
            <v>-</v>
          </cell>
          <cell r="R85">
            <v>0</v>
          </cell>
          <cell r="S85" t="str">
            <v>q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 t="str">
            <v>-</v>
          </cell>
          <cell r="R86">
            <v>0</v>
          </cell>
          <cell r="S86" t="str">
            <v>q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 t="str">
            <v>-</v>
          </cell>
          <cell r="R87">
            <v>0</v>
          </cell>
          <cell r="S87" t="str">
            <v>q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 t="str">
            <v>-</v>
          </cell>
          <cell r="R88">
            <v>0</v>
          </cell>
          <cell r="S88" t="str">
            <v>q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 t="str">
            <v>-</v>
          </cell>
          <cell r="R89">
            <v>0</v>
          </cell>
          <cell r="S89" t="str">
            <v>q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 t="str">
            <v>-</v>
          </cell>
          <cell r="R90">
            <v>0</v>
          </cell>
          <cell r="S90" t="str">
            <v>q</v>
          </cell>
        </row>
        <row r="91">
          <cell r="C91" t="str">
            <v>Active infrast RAN - Base band equipment</v>
          </cell>
          <cell r="D91">
            <v>75279500</v>
          </cell>
          <cell r="E91">
            <v>107191691.81818181</v>
          </cell>
          <cell r="F91">
            <v>241518317.25818181</v>
          </cell>
          <cell r="G91">
            <v>139544515.25818181</v>
          </cell>
          <cell r="H91">
            <v>130812715.25818181</v>
          </cell>
          <cell r="I91">
            <v>185561241.81818181</v>
          </cell>
          <cell r="J91">
            <v>160276051.25818181</v>
          </cell>
          <cell r="K91">
            <v>153622875.25818181</v>
          </cell>
          <cell r="L91">
            <v>140586605.25818181</v>
          </cell>
          <cell r="M91">
            <v>162728515.25818181</v>
          </cell>
          <cell r="N91">
            <v>205292155.25818181</v>
          </cell>
          <cell r="O91">
            <v>290383646.88</v>
          </cell>
          <cell r="P91">
            <v>1992797830.5818181</v>
          </cell>
          <cell r="Q91" t="str">
            <v>T</v>
          </cell>
          <cell r="R91">
            <v>0</v>
          </cell>
          <cell r="S91">
            <v>0</v>
          </cell>
        </row>
        <row r="92">
          <cell r="C92" t="str">
            <v>Radio LTE</v>
          </cell>
          <cell r="D92">
            <v>0</v>
          </cell>
          <cell r="E92">
            <v>22050</v>
          </cell>
          <cell r="F92">
            <v>3783906</v>
          </cell>
          <cell r="G92">
            <v>0</v>
          </cell>
          <cell r="H92">
            <v>2540160</v>
          </cell>
          <cell r="I92">
            <v>6048000</v>
          </cell>
          <cell r="J92">
            <v>2753856</v>
          </cell>
          <cell r="K92">
            <v>6048000</v>
          </cell>
          <cell r="L92">
            <v>2542050</v>
          </cell>
          <cell r="M92">
            <v>10080000</v>
          </cell>
          <cell r="N92">
            <v>6048000</v>
          </cell>
          <cell r="O92">
            <v>6048000</v>
          </cell>
          <cell r="P92">
            <v>45914022</v>
          </cell>
          <cell r="Q92" t="str">
            <v>-</v>
          </cell>
          <cell r="R92">
            <v>0</v>
          </cell>
          <cell r="S92" t="str">
            <v xml:space="preserve"> Radio </v>
          </cell>
        </row>
        <row r="93">
          <cell r="C93" t="str">
            <v>LTE -RAN</v>
          </cell>
          <cell r="D93">
            <v>50400000</v>
          </cell>
          <cell r="E93">
            <v>80640000</v>
          </cell>
          <cell r="F93">
            <v>161280000</v>
          </cell>
          <cell r="G93">
            <v>100800000</v>
          </cell>
          <cell r="H93">
            <v>80640000</v>
          </cell>
          <cell r="I93">
            <v>131040000</v>
          </cell>
          <cell r="J93">
            <v>110880000</v>
          </cell>
          <cell r="K93">
            <v>100800000</v>
          </cell>
          <cell r="L93">
            <v>60480000</v>
          </cell>
          <cell r="M93">
            <v>110880000</v>
          </cell>
          <cell r="N93">
            <v>120960000</v>
          </cell>
          <cell r="O93">
            <v>181440000</v>
          </cell>
          <cell r="P93">
            <v>1290240000</v>
          </cell>
          <cell r="Q93" t="str">
            <v>-</v>
          </cell>
          <cell r="R93">
            <v>0</v>
          </cell>
          <cell r="S93" t="str">
            <v xml:space="preserve"> RAN </v>
          </cell>
        </row>
        <row r="94">
          <cell r="C94" t="str">
            <v xml:space="preserve">3G Access Spare Parts 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 t="str">
            <v>-</v>
          </cell>
          <cell r="R94">
            <v>0</v>
          </cell>
          <cell r="S94" t="str">
            <v>q</v>
          </cell>
        </row>
        <row r="95">
          <cell r="C95" t="str">
            <v>RAN Traffic</v>
          </cell>
          <cell r="D95">
            <v>24192000</v>
          </cell>
          <cell r="E95">
            <v>16128000</v>
          </cell>
          <cell r="F95">
            <v>40320000</v>
          </cell>
          <cell r="G95">
            <v>22176000</v>
          </cell>
          <cell r="H95">
            <v>30240000</v>
          </cell>
          <cell r="I95">
            <v>20160000</v>
          </cell>
          <cell r="J95">
            <v>30240000</v>
          </cell>
          <cell r="K95">
            <v>27216000</v>
          </cell>
          <cell r="L95">
            <v>40320000</v>
          </cell>
          <cell r="M95">
            <v>25200000</v>
          </cell>
          <cell r="N95">
            <v>60480000</v>
          </cell>
          <cell r="O95">
            <v>50400000</v>
          </cell>
          <cell r="P95">
            <v>387072000</v>
          </cell>
          <cell r="Q95" t="str">
            <v>-</v>
          </cell>
          <cell r="R95">
            <v>0</v>
          </cell>
          <cell r="S95" t="str">
            <v>RAN</v>
          </cell>
        </row>
        <row r="96">
          <cell r="C96" t="str">
            <v>BSS Operational Spares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 t="str">
            <v>-</v>
          </cell>
          <cell r="S96">
            <v>0</v>
          </cell>
        </row>
        <row r="97">
          <cell r="C97" t="str">
            <v>BSS Operational Tools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 t="str">
            <v>-</v>
          </cell>
          <cell r="S97">
            <v>0</v>
          </cell>
        </row>
        <row r="98">
          <cell r="C98" t="str">
            <v>Radio Equipments</v>
          </cell>
          <cell r="D98">
            <v>0</v>
          </cell>
          <cell r="E98">
            <v>9714141.8181818184</v>
          </cell>
          <cell r="F98">
            <v>10955997.818181818</v>
          </cell>
          <cell r="G98">
            <v>8723781.8181818184</v>
          </cell>
          <cell r="H98">
            <v>9714141.8181818184</v>
          </cell>
          <cell r="I98">
            <v>10125741.81818182</v>
          </cell>
          <cell r="J98">
            <v>8723781.8181818184</v>
          </cell>
          <cell r="K98">
            <v>9714141.8181818184</v>
          </cell>
          <cell r="L98">
            <v>10050141.81818182</v>
          </cell>
          <cell r="M98">
            <v>8723781.8181818184</v>
          </cell>
          <cell r="N98">
            <v>10125741.81818182</v>
          </cell>
          <cell r="O98">
            <v>20160000</v>
          </cell>
          <cell r="P98">
            <v>116731394.18181819</v>
          </cell>
          <cell r="Q98" t="str">
            <v>-</v>
          </cell>
          <cell r="S98" t="str">
            <v>Radio</v>
          </cell>
        </row>
        <row r="99">
          <cell r="C99" t="str">
            <v>BSS &amp; Radio Tools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2000000</v>
          </cell>
          <cell r="L99">
            <v>2016000</v>
          </cell>
          <cell r="M99">
            <v>0</v>
          </cell>
          <cell r="N99">
            <v>0</v>
          </cell>
          <cell r="O99">
            <v>0</v>
          </cell>
          <cell r="P99">
            <v>4016000</v>
          </cell>
          <cell r="Q99" t="str">
            <v>-</v>
          </cell>
          <cell r="S99" t="str">
            <v>Radio</v>
          </cell>
        </row>
        <row r="100">
          <cell r="C100" t="str">
            <v>RF &amp; Optimization services</v>
          </cell>
          <cell r="D100">
            <v>687500</v>
          </cell>
          <cell r="E100">
            <v>687500</v>
          </cell>
          <cell r="F100">
            <v>25178413.440000001</v>
          </cell>
          <cell r="G100">
            <v>7844733.4400000004</v>
          </cell>
          <cell r="H100">
            <v>7678413.4400000004</v>
          </cell>
          <cell r="I100">
            <v>18187500</v>
          </cell>
          <cell r="J100">
            <v>7678413.4400000004</v>
          </cell>
          <cell r="K100">
            <v>7844733.4400000004</v>
          </cell>
          <cell r="L100">
            <v>25178413.440000001</v>
          </cell>
          <cell r="M100">
            <v>7844733.4400000004</v>
          </cell>
          <cell r="N100">
            <v>7678413.4400000004</v>
          </cell>
          <cell r="O100">
            <v>32335646.880000003</v>
          </cell>
          <cell r="P100">
            <v>148824414.40000001</v>
          </cell>
          <cell r="Q100" t="str">
            <v>-</v>
          </cell>
          <cell r="S100" t="str">
            <v>Radio</v>
          </cell>
        </row>
        <row r="101">
          <cell r="C101" t="str">
            <v>Active infrast RAN - Base band equipment</v>
          </cell>
          <cell r="D101">
            <v>0</v>
          </cell>
          <cell r="E101">
            <v>0</v>
          </cell>
          <cell r="F101">
            <v>7056000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2016000</v>
          </cell>
          <cell r="L101">
            <v>2016000</v>
          </cell>
          <cell r="M101">
            <v>26208000</v>
          </cell>
          <cell r="N101">
            <v>2016000</v>
          </cell>
          <cell r="O101">
            <v>10080000</v>
          </cell>
          <cell r="P101">
            <v>49392000</v>
          </cell>
          <cell r="Q101" t="str">
            <v>T</v>
          </cell>
          <cell r="R101">
            <v>0</v>
          </cell>
          <cell r="S101">
            <v>0</v>
          </cell>
        </row>
        <row r="102">
          <cell r="C102" t="str">
            <v>QOS</v>
          </cell>
          <cell r="D102">
            <v>0</v>
          </cell>
          <cell r="E102">
            <v>0</v>
          </cell>
          <cell r="F102">
            <v>6048000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2016000</v>
          </cell>
          <cell r="M102">
            <v>26208000</v>
          </cell>
          <cell r="N102">
            <v>2016000</v>
          </cell>
          <cell r="O102">
            <v>10080000</v>
          </cell>
          <cell r="P102">
            <v>46368000</v>
          </cell>
          <cell r="Q102" t="str">
            <v>-</v>
          </cell>
          <cell r="R102">
            <v>0</v>
          </cell>
          <cell r="S102" t="str">
            <v>QOS</v>
          </cell>
        </row>
        <row r="103">
          <cell r="C103" t="str">
            <v>Skill Center</v>
          </cell>
          <cell r="D103">
            <v>0</v>
          </cell>
          <cell r="E103">
            <v>0</v>
          </cell>
          <cell r="F103">
            <v>1008000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2016000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3024000</v>
          </cell>
          <cell r="Q103" t="str">
            <v>-</v>
          </cell>
          <cell r="S103" t="str">
            <v>SKC</v>
          </cell>
        </row>
        <row r="104">
          <cell r="C104" t="str">
            <v>LTE - QoS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 t="str">
            <v>-</v>
          </cell>
          <cell r="S104">
            <v>0</v>
          </cell>
        </row>
        <row r="105">
          <cell r="C105" t="str">
            <v>LTE - Measurment Tools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 t="str">
            <v>-</v>
          </cell>
          <cell r="S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 t="str">
            <v>-</v>
          </cell>
          <cell r="S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 t="str">
            <v>-</v>
          </cell>
          <cell r="S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 t="str">
            <v>-</v>
          </cell>
          <cell r="S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 t="str">
            <v>-</v>
          </cell>
          <cell r="S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 t="str">
            <v>-</v>
          </cell>
          <cell r="S110">
            <v>0</v>
          </cell>
        </row>
        <row r="111">
          <cell r="C111" t="str">
            <v>Active infrast RAN - Base band equipment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614950</v>
          </cell>
          <cell r="J111">
            <v>0</v>
          </cell>
          <cell r="K111">
            <v>878500</v>
          </cell>
          <cell r="L111">
            <v>966350</v>
          </cell>
          <cell r="M111">
            <v>0</v>
          </cell>
          <cell r="N111">
            <v>527100</v>
          </cell>
          <cell r="O111">
            <v>0</v>
          </cell>
          <cell r="P111">
            <v>2986900</v>
          </cell>
          <cell r="Q111" t="str">
            <v>T</v>
          </cell>
          <cell r="R111">
            <v>0</v>
          </cell>
          <cell r="S111">
            <v>0</v>
          </cell>
        </row>
        <row r="112">
          <cell r="C112" t="str">
            <v>NGI inventory database replacement with VC4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 t="str">
            <v>-</v>
          </cell>
          <cell r="S112">
            <v>0</v>
          </cell>
        </row>
        <row r="113">
          <cell r="C113" t="str">
            <v>Asset management application to audit passive site equipment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 t="str">
            <v>-</v>
          </cell>
          <cell r="S113">
            <v>0</v>
          </cell>
        </row>
        <row r="114">
          <cell r="C114" t="str">
            <v>Site Status application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 t="str">
            <v>-</v>
          </cell>
          <cell r="S114">
            <v>0</v>
          </cell>
        </row>
        <row r="115">
          <cell r="C115" t="str">
            <v>Physical audit application phase2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S115">
            <v>0</v>
          </cell>
        </row>
        <row r="116">
          <cell r="C116" t="str">
            <v>Security portal phase2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</row>
        <row r="117">
          <cell r="C117" t="str">
            <v>Network Insight RAN Capacity Planning Forecasting Module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</row>
        <row r="118">
          <cell r="C118" t="str">
            <v>Network Insight integration with Huawei packet core.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</row>
        <row r="119">
          <cell r="C119" t="str">
            <v>Microsoft windows servers licenses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</row>
        <row r="120">
          <cell r="C120" t="str">
            <v>New backup Storage Hardware for the Network Insight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S120">
            <v>0</v>
          </cell>
        </row>
        <row r="121">
          <cell r="C121" t="str">
            <v>NNM fixed network monitoring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</row>
        <row r="122">
          <cell r="C122" t="str">
            <v> New licenses for OMi, BSM, SiS, and NNMi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S122">
            <v>0</v>
          </cell>
        </row>
        <row r="123">
          <cell r="C123" t="str">
            <v>OMi redundancy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</row>
        <row r="124">
          <cell r="C124" t="str">
            <v> Implementation of Site-scope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</row>
        <row r="125">
          <cell r="C125" t="str">
            <v>OSS enhancement project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614950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614950</v>
          </cell>
          <cell r="Q125" t="str">
            <v>-</v>
          </cell>
          <cell r="S125" t="str">
            <v xml:space="preserve"> Core </v>
          </cell>
        </row>
        <row r="126">
          <cell r="C126" t="str">
            <v>New HW and licenses for  SM, , GIS and BO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527100</v>
          </cell>
          <cell r="O126">
            <v>0</v>
          </cell>
          <cell r="P126">
            <v>527100</v>
          </cell>
          <cell r="Q126" t="str">
            <v>-</v>
          </cell>
          <cell r="S126" t="str">
            <v xml:space="preserve"> Core </v>
          </cell>
        </row>
        <row r="127">
          <cell r="C127" t="str">
            <v>GIS enhancement project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878500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878500</v>
          </cell>
          <cell r="Q127" t="str">
            <v>-</v>
          </cell>
          <cell r="S127" t="str">
            <v xml:space="preserve"> Core </v>
          </cell>
        </row>
        <row r="128">
          <cell r="C128" t="str">
            <v xml:space="preserve">Implementation of  uCMDB (including HW, licenses and implementation services 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966350</v>
          </cell>
          <cell r="M128">
            <v>0</v>
          </cell>
          <cell r="N128">
            <v>0</v>
          </cell>
          <cell r="O128">
            <v>0</v>
          </cell>
          <cell r="P128">
            <v>966350</v>
          </cell>
          <cell r="Q128" t="str">
            <v>-</v>
          </cell>
          <cell r="S128" t="str">
            <v xml:space="preserve"> Core 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 t="str">
            <v>-</v>
          </cell>
          <cell r="S129">
            <v>0</v>
          </cell>
        </row>
        <row r="130">
          <cell r="C130" t="str">
            <v>Mobile RAN - Femto, IoT &amp; others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 t="str">
            <v>-</v>
          </cell>
          <cell r="S130">
            <v>0</v>
          </cell>
        </row>
        <row r="131">
          <cell r="C131" t="str">
            <v>Other Network equipment (VOIP)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 t="str">
            <v>-</v>
          </cell>
          <cell r="S131">
            <v>0</v>
          </cell>
        </row>
        <row r="132">
          <cell r="C132" t="str">
            <v>Other Network equipment (FO)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 t="str">
            <v>T</v>
          </cell>
          <cell r="R132">
            <v>0</v>
          </cell>
          <cell r="S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 t="str">
            <v>-</v>
          </cell>
          <cell r="S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 t="str">
            <v>-</v>
          </cell>
          <cell r="S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 t="str">
            <v>-</v>
          </cell>
          <cell r="S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 t="str">
            <v>-</v>
          </cell>
          <cell r="S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 t="str">
            <v>-</v>
          </cell>
          <cell r="S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 t="str">
            <v>-</v>
          </cell>
          <cell r="S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 t="str">
            <v>-</v>
          </cell>
          <cell r="S139">
            <v>0</v>
          </cell>
        </row>
        <row r="140">
          <cell r="C140" t="str">
            <v>Backhaul links (Microwave)</v>
          </cell>
          <cell r="D140">
            <v>20178950.399999999</v>
          </cell>
          <cell r="E140">
            <v>25809253.470140003</v>
          </cell>
          <cell r="F140">
            <v>17774464.200860001</v>
          </cell>
          <cell r="G140">
            <v>20678950.400000002</v>
          </cell>
          <cell r="H140">
            <v>20178950.399999999</v>
          </cell>
          <cell r="I140">
            <v>23404767.270999998</v>
          </cell>
          <cell r="J140">
            <v>30268425.599999998</v>
          </cell>
          <cell r="K140">
            <v>29571597.3105</v>
          </cell>
          <cell r="L140">
            <v>33994242.471000001</v>
          </cell>
          <cell r="M140">
            <v>30268425.599999998</v>
          </cell>
          <cell r="N140">
            <v>33497288.606109999</v>
          </cell>
          <cell r="O140">
            <v>25942170.375390001</v>
          </cell>
          <cell r="P140">
            <v>311567486.10499996</v>
          </cell>
          <cell r="Q140" t="str">
            <v>T</v>
          </cell>
          <cell r="R140">
            <v>0</v>
          </cell>
          <cell r="S140">
            <v>0</v>
          </cell>
        </row>
        <row r="141">
          <cell r="C141" t="str">
            <v>BSS SW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 t="str">
            <v>-</v>
          </cell>
          <cell r="S141">
            <v>0</v>
          </cell>
        </row>
        <row r="142">
          <cell r="C142" t="str">
            <v>Transmission for UTRAN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 t="str">
            <v>-</v>
          </cell>
          <cell r="S142">
            <v>0</v>
          </cell>
        </row>
        <row r="143">
          <cell r="C143" t="str">
            <v>Transmission for GERAN</v>
          </cell>
          <cell r="D143">
            <v>16552569.6</v>
          </cell>
          <cell r="E143">
            <v>18501723.04036</v>
          </cell>
          <cell r="F143">
            <v>10246236.446079999</v>
          </cell>
          <cell r="G143">
            <v>16552569.6</v>
          </cell>
          <cell r="H143">
            <v>16552569.6</v>
          </cell>
          <cell r="I143">
            <v>12195389.88644</v>
          </cell>
          <cell r="J143">
            <v>24828854.399999999</v>
          </cell>
          <cell r="K143">
            <v>20450876.480719998</v>
          </cell>
          <cell r="L143">
            <v>20471674.686439998</v>
          </cell>
          <cell r="M143">
            <v>24828854.399999999</v>
          </cell>
          <cell r="N143">
            <v>24349183.361439999</v>
          </cell>
          <cell r="O143">
            <v>16573367.80572</v>
          </cell>
          <cell r="P143">
            <v>222103869.30720001</v>
          </cell>
          <cell r="Q143" t="str">
            <v>-</v>
          </cell>
          <cell r="S143" t="str">
            <v>Transmission</v>
          </cell>
        </row>
        <row r="144">
          <cell r="C144" t="str">
            <v>EDGE Transmission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 t="str">
            <v>-</v>
          </cell>
          <cell r="S144">
            <v>0</v>
          </cell>
        </row>
        <row r="145">
          <cell r="C145" t="str">
            <v>PDH Swap/ Transmission 3G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 t="str">
            <v>-</v>
          </cell>
          <cell r="S145">
            <v>0</v>
          </cell>
        </row>
        <row r="146">
          <cell r="C146" t="str">
            <v>Transmission Spare Parts (SDH)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500000</v>
          </cell>
          <cell r="M146">
            <v>0</v>
          </cell>
          <cell r="N146">
            <v>0</v>
          </cell>
          <cell r="O146">
            <v>0</v>
          </cell>
          <cell r="P146">
            <v>500000</v>
          </cell>
          <cell r="Q146" t="str">
            <v>-</v>
          </cell>
          <cell r="S146" t="str">
            <v>Transmission</v>
          </cell>
        </row>
        <row r="147">
          <cell r="C147" t="str">
            <v>PDH Spares</v>
          </cell>
          <cell r="D147">
            <v>0</v>
          </cell>
          <cell r="E147">
            <v>0</v>
          </cell>
          <cell r="F147">
            <v>0</v>
          </cell>
          <cell r="G147">
            <v>500000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500000</v>
          </cell>
          <cell r="Q147" t="str">
            <v>-</v>
          </cell>
          <cell r="S147" t="str">
            <v xml:space="preserve"> Core 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 t="str">
            <v>-</v>
          </cell>
          <cell r="S148">
            <v>0</v>
          </cell>
        </row>
        <row r="149">
          <cell r="C149" t="str">
            <v>LTE Transmission</v>
          </cell>
          <cell r="D149">
            <v>3626380.8</v>
          </cell>
          <cell r="E149">
            <v>7307530.4297800008</v>
          </cell>
          <cell r="F149">
            <v>7528227.7547800001</v>
          </cell>
          <cell r="G149">
            <v>3626380.8</v>
          </cell>
          <cell r="H149">
            <v>3626380.8</v>
          </cell>
          <cell r="I149">
            <v>11209377.38456</v>
          </cell>
          <cell r="J149">
            <v>5439571.2000000002</v>
          </cell>
          <cell r="K149">
            <v>9120720.8297800012</v>
          </cell>
          <cell r="L149">
            <v>13022567.784560001</v>
          </cell>
          <cell r="M149">
            <v>5439571.2000000002</v>
          </cell>
          <cell r="N149">
            <v>9148105.2446699999</v>
          </cell>
          <cell r="O149">
            <v>9368802.5696699992</v>
          </cell>
          <cell r="P149">
            <v>88463616.797800004</v>
          </cell>
          <cell r="Q149" t="str">
            <v>-</v>
          </cell>
          <cell r="S149" t="str">
            <v xml:space="preserve"> Transmission </v>
          </cell>
        </row>
        <row r="150">
          <cell r="C150" t="str">
            <v>Mobile RAN - CDMA equipments &amp; releases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 t="str">
            <v>T</v>
          </cell>
          <cell r="R150">
            <v>0</v>
          </cell>
          <cell r="S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 t="str">
            <v>-</v>
          </cell>
          <cell r="S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 t="str">
            <v>-</v>
          </cell>
          <cell r="S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 t="str">
            <v>-</v>
          </cell>
          <cell r="S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 t="str">
            <v>-</v>
          </cell>
          <cell r="S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 t="str">
            <v>-</v>
          </cell>
          <cell r="S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 t="str">
            <v>-</v>
          </cell>
          <cell r="S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 t="str">
            <v>-</v>
          </cell>
          <cell r="S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 t="str">
            <v>-</v>
          </cell>
          <cell r="S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 t="str">
            <v>-</v>
          </cell>
          <cell r="S159">
            <v>0</v>
          </cell>
        </row>
        <row r="160">
          <cell r="C160" t="str">
            <v>Other network equipments (-&gt;2010/02)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 t="str">
            <v>T</v>
          </cell>
          <cell r="R160">
            <v>0</v>
          </cell>
          <cell r="S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 t="str">
            <v>-</v>
          </cell>
          <cell r="S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 t="str">
            <v>-</v>
          </cell>
          <cell r="S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 t="str">
            <v>-</v>
          </cell>
          <cell r="S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 t="str">
            <v>-</v>
          </cell>
          <cell r="S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 t="str">
            <v>-</v>
          </cell>
          <cell r="S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 t="str">
            <v>-</v>
          </cell>
          <cell r="S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 t="str">
            <v>-</v>
          </cell>
          <cell r="S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 t="str">
            <v>-</v>
          </cell>
          <cell r="S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 t="str">
            <v>-</v>
          </cell>
          <cell r="S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 t="str">
            <v>-</v>
          </cell>
          <cell r="S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 t="str">
            <v>-</v>
          </cell>
          <cell r="S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 t="str">
            <v>-</v>
          </cell>
          <cell r="S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 t="str">
            <v>-</v>
          </cell>
          <cell r="S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 t="str">
            <v>-</v>
          </cell>
          <cell r="S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 t="str">
            <v>-</v>
          </cell>
          <cell r="S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 t="str">
            <v>-</v>
          </cell>
          <cell r="S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 t="str">
            <v>-</v>
          </cell>
          <cell r="S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 t="str">
            <v>-</v>
          </cell>
          <cell r="S178">
            <v>0</v>
          </cell>
        </row>
        <row r="179">
          <cell r="C179" t="str">
            <v>Wireless Access Network - Mobile</v>
          </cell>
          <cell r="D179">
            <v>131022750.40000001</v>
          </cell>
          <cell r="E179">
            <v>163565245.28832182</v>
          </cell>
          <cell r="F179">
            <v>321413081.45904183</v>
          </cell>
          <cell r="G179">
            <v>190087765.65818182</v>
          </cell>
          <cell r="H179">
            <v>210555965.65818182</v>
          </cell>
          <cell r="I179">
            <v>244145259.08918181</v>
          </cell>
          <cell r="J179">
            <v>243611271.8581818</v>
          </cell>
          <cell r="K179">
            <v>214155767.56868181</v>
          </cell>
          <cell r="L179">
            <v>220129992.72918183</v>
          </cell>
          <cell r="M179">
            <v>294471735.85818183</v>
          </cell>
          <cell r="N179">
            <v>270599338.86429179</v>
          </cell>
          <cell r="O179">
            <v>360472612.25538999</v>
          </cell>
          <cell r="P179">
            <v>2864230786.6868181</v>
          </cell>
          <cell r="Q179" t="str">
            <v>T</v>
          </cell>
          <cell r="R179">
            <v>0</v>
          </cell>
          <cell r="S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 t="str">
            <v>-</v>
          </cell>
          <cell r="S180">
            <v>0</v>
          </cell>
        </row>
        <row r="181">
          <cell r="C181" t="str">
            <v>WiFi HotSpots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 t="str">
            <v>T</v>
          </cell>
          <cell r="S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 t="str">
            <v>-</v>
          </cell>
          <cell r="S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 t="str">
            <v>-</v>
          </cell>
          <cell r="S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 t="str">
            <v>-</v>
          </cell>
          <cell r="S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 t="str">
            <v>-</v>
          </cell>
          <cell r="S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 t="str">
            <v>-</v>
          </cell>
          <cell r="S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 t="str">
            <v>-</v>
          </cell>
          <cell r="S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 t="str">
            <v>-</v>
          </cell>
          <cell r="S188">
            <v>0</v>
          </cell>
        </row>
        <row r="189">
          <cell r="C189" t="str">
            <v>WiMax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 t="str">
            <v>T</v>
          </cell>
          <cell r="S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 t="str">
            <v>-</v>
          </cell>
          <cell r="S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 t="str">
            <v>-</v>
          </cell>
          <cell r="S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 t="str">
            <v>-</v>
          </cell>
          <cell r="S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 t="str">
            <v>-</v>
          </cell>
          <cell r="S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 t="str">
            <v>-</v>
          </cell>
          <cell r="S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 t="str">
            <v>-</v>
          </cell>
          <cell r="S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 t="str">
            <v>-</v>
          </cell>
          <cell r="S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 t="str">
            <v>-</v>
          </cell>
          <cell r="S197">
            <v>0</v>
          </cell>
        </row>
        <row r="198">
          <cell r="C198" t="str">
            <v>Other networks (-&gt;2010/02)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 t="str">
            <v>T</v>
          </cell>
          <cell r="S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 t="str">
            <v>-</v>
          </cell>
          <cell r="S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 t="str">
            <v>-</v>
          </cell>
          <cell r="S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 t="str">
            <v>-</v>
          </cell>
          <cell r="S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 t="str">
            <v>-</v>
          </cell>
          <cell r="S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 t="str">
            <v>-</v>
          </cell>
          <cell r="S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 t="str">
            <v>-</v>
          </cell>
          <cell r="S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 t="str">
            <v>-</v>
          </cell>
          <cell r="S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 t="str">
            <v>-</v>
          </cell>
          <cell r="S206">
            <v>0</v>
          </cell>
        </row>
        <row r="207">
          <cell r="C207" t="str">
            <v>Cable TV networks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 t="str">
            <v>T</v>
          </cell>
          <cell r="S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 t="str">
            <v>-</v>
          </cell>
          <cell r="S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 t="str">
            <v>-</v>
          </cell>
          <cell r="S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 t="str">
            <v>-</v>
          </cell>
          <cell r="S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 t="str">
            <v>-</v>
          </cell>
          <cell r="S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 t="str">
            <v>-</v>
          </cell>
          <cell r="S212">
            <v>0</v>
          </cell>
        </row>
        <row r="213">
          <cell r="C213" t="str">
            <v>Wireless Access Network - Fixed Broadband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 t="str">
            <v>T</v>
          </cell>
          <cell r="R213">
            <v>0</v>
          </cell>
          <cell r="S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 t="str">
            <v>-</v>
          </cell>
          <cell r="S214">
            <v>0</v>
          </cell>
        </row>
        <row r="215">
          <cell r="C215" t="str">
            <v>Civil works &amp; Poles</v>
          </cell>
          <cell r="D215">
            <v>450000</v>
          </cell>
          <cell r="E215">
            <v>450000</v>
          </cell>
          <cell r="F215">
            <v>450000</v>
          </cell>
          <cell r="G215">
            <v>450000</v>
          </cell>
          <cell r="H215">
            <v>450000</v>
          </cell>
          <cell r="I215">
            <v>450000</v>
          </cell>
          <cell r="J215">
            <v>292500</v>
          </cell>
          <cell r="K215">
            <v>292500</v>
          </cell>
          <cell r="L215">
            <v>292500</v>
          </cell>
          <cell r="M215">
            <v>292500</v>
          </cell>
          <cell r="N215">
            <v>292500</v>
          </cell>
          <cell r="O215">
            <v>292500</v>
          </cell>
          <cell r="P215">
            <v>4455000</v>
          </cell>
          <cell r="Q215" t="str">
            <v>T</v>
          </cell>
          <cell r="S215">
            <v>0</v>
          </cell>
        </row>
        <row r="216">
          <cell r="C216" t="str">
            <v>Core Network Construction</v>
          </cell>
          <cell r="D216">
            <v>450000</v>
          </cell>
          <cell r="E216">
            <v>450000</v>
          </cell>
          <cell r="F216">
            <v>450000</v>
          </cell>
          <cell r="G216">
            <v>450000</v>
          </cell>
          <cell r="H216">
            <v>450000</v>
          </cell>
          <cell r="I216">
            <v>450000</v>
          </cell>
          <cell r="J216">
            <v>292500</v>
          </cell>
          <cell r="K216">
            <v>292500</v>
          </cell>
          <cell r="L216">
            <v>292500</v>
          </cell>
          <cell r="M216">
            <v>292500</v>
          </cell>
          <cell r="N216">
            <v>292500</v>
          </cell>
          <cell r="O216">
            <v>292500</v>
          </cell>
          <cell r="P216">
            <v>4455000</v>
          </cell>
          <cell r="Q216" t="str">
            <v>-</v>
          </cell>
          <cell r="S216" t="str">
            <v>Core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 t="str">
            <v>-</v>
          </cell>
          <cell r="S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 t="str">
            <v>-</v>
          </cell>
          <cell r="S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 t="str">
            <v>-</v>
          </cell>
          <cell r="S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 t="str">
            <v>-</v>
          </cell>
          <cell r="S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 t="str">
            <v>-</v>
          </cell>
          <cell r="S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 t="str">
            <v>-</v>
          </cell>
          <cell r="S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 t="str">
            <v>-</v>
          </cell>
          <cell r="S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 t="str">
            <v>-</v>
          </cell>
          <cell r="S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 t="str">
            <v>-</v>
          </cell>
          <cell r="S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 t="str">
            <v>-</v>
          </cell>
          <cell r="R226">
            <v>0</v>
          </cell>
          <cell r="S226" t="str">
            <v>q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 t="str">
            <v>-</v>
          </cell>
          <cell r="S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 t="str">
            <v>-</v>
          </cell>
          <cell r="S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 t="str">
            <v>-</v>
          </cell>
          <cell r="S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 t="str">
            <v>-</v>
          </cell>
          <cell r="S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 t="str">
            <v>-</v>
          </cell>
          <cell r="S231">
            <v>0</v>
          </cell>
        </row>
        <row r="232"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 t="str">
            <v>-</v>
          </cell>
          <cell r="S232">
            <v>0</v>
          </cell>
        </row>
        <row r="233"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 t="str">
            <v>-</v>
          </cell>
          <cell r="S233">
            <v>0</v>
          </cell>
        </row>
        <row r="234"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 t="str">
            <v>-</v>
          </cell>
          <cell r="S234">
            <v>0</v>
          </cell>
        </row>
        <row r="235">
          <cell r="C235" t="str">
            <v>Technical Environment</v>
          </cell>
          <cell r="D235">
            <v>150000</v>
          </cell>
          <cell r="E235">
            <v>150000</v>
          </cell>
          <cell r="F235">
            <v>150000</v>
          </cell>
          <cell r="G235">
            <v>150000</v>
          </cell>
          <cell r="H235">
            <v>150000</v>
          </cell>
          <cell r="I235">
            <v>150000</v>
          </cell>
          <cell r="J235">
            <v>97500</v>
          </cell>
          <cell r="K235">
            <v>97500</v>
          </cell>
          <cell r="L235">
            <v>97500</v>
          </cell>
          <cell r="M235">
            <v>97500</v>
          </cell>
          <cell r="N235">
            <v>97500</v>
          </cell>
          <cell r="O235">
            <v>97500</v>
          </cell>
          <cell r="P235">
            <v>1485000</v>
          </cell>
          <cell r="Q235" t="str">
            <v>T</v>
          </cell>
          <cell r="S235">
            <v>0</v>
          </cell>
        </row>
        <row r="236">
          <cell r="C236" t="str">
            <v>Power Supplies for Core</v>
          </cell>
          <cell r="D236">
            <v>150000</v>
          </cell>
          <cell r="E236">
            <v>150000</v>
          </cell>
          <cell r="F236">
            <v>150000</v>
          </cell>
          <cell r="G236">
            <v>150000</v>
          </cell>
          <cell r="H236">
            <v>150000</v>
          </cell>
          <cell r="I236">
            <v>150000</v>
          </cell>
          <cell r="J236">
            <v>97500</v>
          </cell>
          <cell r="K236">
            <v>97500</v>
          </cell>
          <cell r="L236">
            <v>97500</v>
          </cell>
          <cell r="M236">
            <v>97500</v>
          </cell>
          <cell r="N236">
            <v>97500</v>
          </cell>
          <cell r="O236">
            <v>97500</v>
          </cell>
          <cell r="P236">
            <v>1485000</v>
          </cell>
          <cell r="Q236" t="str">
            <v>-</v>
          </cell>
          <cell r="S236" t="str">
            <v>Core</v>
          </cell>
        </row>
        <row r="237"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 t="str">
            <v>-</v>
          </cell>
          <cell r="S237">
            <v>0</v>
          </cell>
        </row>
        <row r="238"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 t="str">
            <v>-</v>
          </cell>
          <cell r="S238">
            <v>0</v>
          </cell>
        </row>
        <row r="239"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 t="str">
            <v>-</v>
          </cell>
          <cell r="S239">
            <v>0</v>
          </cell>
        </row>
        <row r="240"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 t="str">
            <v>-</v>
          </cell>
          <cell r="S240">
            <v>0</v>
          </cell>
        </row>
        <row r="241"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 t="str">
            <v>-</v>
          </cell>
          <cell r="S241">
            <v>0</v>
          </cell>
        </row>
        <row r="242"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 t="str">
            <v>-</v>
          </cell>
          <cell r="S242">
            <v>0</v>
          </cell>
        </row>
        <row r="243"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 t="str">
            <v>-</v>
          </cell>
          <cell r="S243">
            <v>0</v>
          </cell>
        </row>
        <row r="244"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 t="str">
            <v>-</v>
          </cell>
          <cell r="S244">
            <v>0</v>
          </cell>
        </row>
        <row r="245">
          <cell r="C245" t="str">
            <v>Local loop cables and supporting equipments (-&gt;2010/02)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 t="str">
            <v>T</v>
          </cell>
          <cell r="S245">
            <v>0</v>
          </cell>
        </row>
        <row r="246"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 t="str">
            <v>-</v>
          </cell>
          <cell r="S246">
            <v>0</v>
          </cell>
        </row>
        <row r="247"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 t="str">
            <v>-</v>
          </cell>
          <cell r="S247">
            <v>0</v>
          </cell>
        </row>
        <row r="248"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 t="str">
            <v>-</v>
          </cell>
          <cell r="S248">
            <v>0</v>
          </cell>
        </row>
        <row r="249"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 t="str">
            <v>-</v>
          </cell>
          <cell r="S249">
            <v>0</v>
          </cell>
        </row>
        <row r="250"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 t="str">
            <v>-</v>
          </cell>
          <cell r="S250">
            <v>0</v>
          </cell>
        </row>
        <row r="251"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 t="str">
            <v>-</v>
          </cell>
          <cell r="S251">
            <v>0</v>
          </cell>
        </row>
        <row r="252"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 t="str">
            <v>-</v>
          </cell>
          <cell r="S252">
            <v>0</v>
          </cell>
        </row>
        <row r="253"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 t="str">
            <v>-</v>
          </cell>
          <cell r="S253">
            <v>0</v>
          </cell>
        </row>
        <row r="254"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 t="str">
            <v>-</v>
          </cell>
          <cell r="S254">
            <v>0</v>
          </cell>
        </row>
        <row r="255">
          <cell r="C255" t="str">
            <v>Local loop cables &amp; supporting equipments - Copper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 t="str">
            <v>T</v>
          </cell>
          <cell r="S255">
            <v>0</v>
          </cell>
        </row>
        <row r="256">
          <cell r="C256" t="str">
            <v>ATM to IP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 t="str">
            <v>-</v>
          </cell>
          <cell r="S256">
            <v>0</v>
          </cell>
        </row>
        <row r="257"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 t="str">
            <v>-</v>
          </cell>
          <cell r="S257">
            <v>0</v>
          </cell>
        </row>
        <row r="258"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 t="str">
            <v>-</v>
          </cell>
          <cell r="S258">
            <v>0</v>
          </cell>
        </row>
        <row r="259"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 t="str">
            <v>-</v>
          </cell>
          <cell r="S259">
            <v>0</v>
          </cell>
        </row>
        <row r="260"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 t="str">
            <v>-</v>
          </cell>
          <cell r="S260">
            <v>0</v>
          </cell>
        </row>
        <row r="261"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 t="str">
            <v>-</v>
          </cell>
          <cell r="S261">
            <v>0</v>
          </cell>
        </row>
        <row r="262"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 t="str">
            <v>-</v>
          </cell>
          <cell r="S262">
            <v>0</v>
          </cell>
        </row>
        <row r="263"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 t="str">
            <v>-</v>
          </cell>
          <cell r="S263">
            <v>0</v>
          </cell>
        </row>
        <row r="264"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 t="str">
            <v>-</v>
          </cell>
          <cell r="S264">
            <v>0</v>
          </cell>
        </row>
        <row r="265">
          <cell r="C265" t="str">
            <v>Local loop cables &amp; supporting equipments - Fiber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 t="str">
            <v>T</v>
          </cell>
          <cell r="S265">
            <v>0</v>
          </cell>
        </row>
        <row r="266"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 t="str">
            <v>-</v>
          </cell>
          <cell r="S266">
            <v>0</v>
          </cell>
        </row>
        <row r="267"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 t="str">
            <v>-</v>
          </cell>
          <cell r="S267">
            <v>0</v>
          </cell>
        </row>
        <row r="268"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 t="str">
            <v>-</v>
          </cell>
          <cell r="S268">
            <v>0</v>
          </cell>
        </row>
        <row r="269"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 t="str">
            <v>-</v>
          </cell>
          <cell r="S269">
            <v>0</v>
          </cell>
        </row>
        <row r="270"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 t="str">
            <v>-</v>
          </cell>
          <cell r="S270">
            <v>0</v>
          </cell>
        </row>
        <row r="271"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 t="str">
            <v>-</v>
          </cell>
          <cell r="S271">
            <v>0</v>
          </cell>
        </row>
        <row r="272"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 t="str">
            <v>-</v>
          </cell>
          <cell r="S272">
            <v>0</v>
          </cell>
        </row>
        <row r="273"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 t="str">
            <v>-</v>
          </cell>
          <cell r="S273">
            <v>0</v>
          </cell>
        </row>
        <row r="274"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 t="str">
            <v>-</v>
          </cell>
          <cell r="S274">
            <v>0</v>
          </cell>
        </row>
        <row r="275">
          <cell r="C275" t="str">
            <v>FAN infrastructure - Poles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 t="str">
            <v>T</v>
          </cell>
          <cell r="S275">
            <v>0</v>
          </cell>
        </row>
        <row r="276">
          <cell r="C276" t="str">
            <v xml:space="preserve">Infra Capex 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 t="str">
            <v>-</v>
          </cell>
          <cell r="S276">
            <v>0</v>
          </cell>
        </row>
        <row r="277"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 t="str">
            <v>-</v>
          </cell>
          <cell r="S277">
            <v>0</v>
          </cell>
        </row>
        <row r="278"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 t="str">
            <v>-</v>
          </cell>
          <cell r="S278">
            <v>0</v>
          </cell>
        </row>
        <row r="279"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 t="str">
            <v>-</v>
          </cell>
          <cell r="S279">
            <v>0</v>
          </cell>
        </row>
        <row r="280"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 t="str">
            <v>-</v>
          </cell>
          <cell r="S280">
            <v>0</v>
          </cell>
        </row>
        <row r="281"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 t="str">
            <v>-</v>
          </cell>
          <cell r="S281">
            <v>0</v>
          </cell>
        </row>
        <row r="282"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 t="str">
            <v>-</v>
          </cell>
          <cell r="S282">
            <v>0</v>
          </cell>
        </row>
        <row r="283"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 t="str">
            <v>-</v>
          </cell>
          <cell r="S283">
            <v>0</v>
          </cell>
        </row>
        <row r="284"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 t="str">
            <v>-</v>
          </cell>
          <cell r="S284">
            <v>0</v>
          </cell>
        </row>
        <row r="285">
          <cell r="C285" t="str">
            <v>Equipment on local loop cable (-&gt;2010/02)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 t="str">
            <v>T</v>
          </cell>
          <cell r="S285">
            <v>0</v>
          </cell>
        </row>
        <row r="286"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 t="str">
            <v>-</v>
          </cell>
          <cell r="S286">
            <v>0</v>
          </cell>
        </row>
        <row r="287"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 t="str">
            <v>-</v>
          </cell>
          <cell r="S287">
            <v>0</v>
          </cell>
        </row>
        <row r="288"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 t="str">
            <v>-</v>
          </cell>
          <cell r="S288">
            <v>0</v>
          </cell>
        </row>
        <row r="289"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 t="str">
            <v>-</v>
          </cell>
          <cell r="S289">
            <v>0</v>
          </cell>
        </row>
        <row r="290"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 t="str">
            <v>-</v>
          </cell>
          <cell r="S290">
            <v>0</v>
          </cell>
        </row>
        <row r="291"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 t="str">
            <v>-</v>
          </cell>
          <cell r="S291">
            <v>0</v>
          </cell>
        </row>
        <row r="292"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 t="str">
            <v>-</v>
          </cell>
          <cell r="S292">
            <v>0</v>
          </cell>
        </row>
        <row r="293"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 t="str">
            <v>-</v>
          </cell>
          <cell r="S293">
            <v>0</v>
          </cell>
        </row>
        <row r="294"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 t="str">
            <v>-</v>
          </cell>
          <cell r="S294">
            <v>0</v>
          </cell>
        </row>
        <row r="295">
          <cell r="C295" t="str">
            <v>FAN - Backhaul equipment &amp; releases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 t="str">
            <v>T</v>
          </cell>
          <cell r="S295">
            <v>0</v>
          </cell>
        </row>
        <row r="296"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 t="str">
            <v>-</v>
          </cell>
          <cell r="S296">
            <v>0</v>
          </cell>
        </row>
        <row r="297"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 t="str">
            <v>-</v>
          </cell>
          <cell r="S297">
            <v>0</v>
          </cell>
        </row>
        <row r="298"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 t="str">
            <v>-</v>
          </cell>
          <cell r="S298">
            <v>0</v>
          </cell>
        </row>
        <row r="299"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 t="str">
            <v>-</v>
          </cell>
          <cell r="S299">
            <v>0</v>
          </cell>
        </row>
        <row r="300"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 t="str">
            <v>-</v>
          </cell>
          <cell r="S300">
            <v>0</v>
          </cell>
        </row>
        <row r="301"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 t="str">
            <v>-</v>
          </cell>
          <cell r="S301">
            <v>0</v>
          </cell>
        </row>
        <row r="302"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 t="str">
            <v>-</v>
          </cell>
          <cell r="S302">
            <v>0</v>
          </cell>
        </row>
        <row r="303"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 t="str">
            <v>-</v>
          </cell>
          <cell r="S303">
            <v>0</v>
          </cell>
        </row>
        <row r="304"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 t="str">
            <v>-</v>
          </cell>
          <cell r="S304">
            <v>0</v>
          </cell>
        </row>
        <row r="305">
          <cell r="C305" t="str">
            <v>DSLAM (-&gt;2010/02)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 t="str">
            <v>T</v>
          </cell>
          <cell r="S305">
            <v>0</v>
          </cell>
        </row>
        <row r="306"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 t="str">
            <v>-</v>
          </cell>
          <cell r="S306">
            <v>0</v>
          </cell>
        </row>
        <row r="307"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 t="str">
            <v>-</v>
          </cell>
          <cell r="S307">
            <v>0</v>
          </cell>
        </row>
        <row r="308"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 t="str">
            <v>-</v>
          </cell>
          <cell r="S308">
            <v>0</v>
          </cell>
        </row>
        <row r="309"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 t="str">
            <v>-</v>
          </cell>
          <cell r="S309">
            <v>0</v>
          </cell>
        </row>
        <row r="310"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 t="str">
            <v>-</v>
          </cell>
          <cell r="S310">
            <v>0</v>
          </cell>
        </row>
        <row r="311"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 t="str">
            <v>-</v>
          </cell>
          <cell r="S311">
            <v>0</v>
          </cell>
        </row>
        <row r="312"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 t="str">
            <v>-</v>
          </cell>
          <cell r="S312">
            <v>0</v>
          </cell>
        </row>
        <row r="313"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 t="str">
            <v>-</v>
          </cell>
          <cell r="S313">
            <v>0</v>
          </cell>
        </row>
        <row r="314"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 t="str">
            <v>-</v>
          </cell>
          <cell r="S314">
            <v>0</v>
          </cell>
        </row>
        <row r="315">
          <cell r="C315" t="str">
            <v>Copper DSLAM - ATM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 t="str">
            <v>T</v>
          </cell>
          <cell r="S315">
            <v>0</v>
          </cell>
        </row>
        <row r="316"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 t="str">
            <v>-</v>
          </cell>
          <cell r="S316">
            <v>0</v>
          </cell>
        </row>
        <row r="317"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 t="str">
            <v>-</v>
          </cell>
          <cell r="S317">
            <v>0</v>
          </cell>
        </row>
        <row r="318"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 t="str">
            <v>-</v>
          </cell>
          <cell r="S318">
            <v>0</v>
          </cell>
        </row>
        <row r="319"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 t="str">
            <v>-</v>
          </cell>
          <cell r="S319">
            <v>0</v>
          </cell>
        </row>
        <row r="320"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 t="str">
            <v>-</v>
          </cell>
          <cell r="S320">
            <v>0</v>
          </cell>
        </row>
        <row r="321"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 t="str">
            <v>-</v>
          </cell>
          <cell r="S321">
            <v>0</v>
          </cell>
        </row>
        <row r="322"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 t="str">
            <v>-</v>
          </cell>
          <cell r="S322">
            <v>0</v>
          </cell>
        </row>
        <row r="323"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 t="str">
            <v>-</v>
          </cell>
          <cell r="S323">
            <v>0</v>
          </cell>
        </row>
        <row r="324"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 t="str">
            <v>-</v>
          </cell>
          <cell r="S324">
            <v>0</v>
          </cell>
        </row>
        <row r="325">
          <cell r="C325" t="str">
            <v>Copper DSLAM - IP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 t="str">
            <v>T</v>
          </cell>
          <cell r="S325">
            <v>0</v>
          </cell>
        </row>
        <row r="326"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 t="str">
            <v>-</v>
          </cell>
          <cell r="S326">
            <v>0</v>
          </cell>
        </row>
        <row r="327"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 t="str">
            <v>-</v>
          </cell>
          <cell r="S327">
            <v>0</v>
          </cell>
        </row>
        <row r="328"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 t="str">
            <v>-</v>
          </cell>
          <cell r="S328">
            <v>0</v>
          </cell>
        </row>
        <row r="329"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 t="str">
            <v>-</v>
          </cell>
          <cell r="S329">
            <v>0</v>
          </cell>
        </row>
        <row r="330"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 t="str">
            <v>-</v>
          </cell>
          <cell r="S330">
            <v>0</v>
          </cell>
        </row>
        <row r="331"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 t="str">
            <v>-</v>
          </cell>
          <cell r="S331">
            <v>0</v>
          </cell>
        </row>
        <row r="332"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 t="str">
            <v>-</v>
          </cell>
          <cell r="S332">
            <v>0</v>
          </cell>
        </row>
        <row r="333"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 t="str">
            <v>-</v>
          </cell>
          <cell r="S333">
            <v>0</v>
          </cell>
        </row>
        <row r="334"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 t="str">
            <v>-</v>
          </cell>
          <cell r="S334">
            <v>0</v>
          </cell>
        </row>
        <row r="335">
          <cell r="C335" t="str">
            <v>Optical DSLAM - OLT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 t="str">
            <v>T</v>
          </cell>
          <cell r="S335">
            <v>0</v>
          </cell>
        </row>
        <row r="336"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 t="str">
            <v>-</v>
          </cell>
          <cell r="S336">
            <v>0</v>
          </cell>
        </row>
        <row r="337"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 t="str">
            <v>-</v>
          </cell>
          <cell r="S337">
            <v>0</v>
          </cell>
        </row>
        <row r="338"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 t="str">
            <v>-</v>
          </cell>
          <cell r="S338">
            <v>0</v>
          </cell>
        </row>
        <row r="339"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 t="str">
            <v>-</v>
          </cell>
          <cell r="S339">
            <v>0</v>
          </cell>
        </row>
        <row r="340"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 t="str">
            <v>-</v>
          </cell>
          <cell r="S340">
            <v>0</v>
          </cell>
        </row>
        <row r="341"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 t="str">
            <v>-</v>
          </cell>
          <cell r="S341">
            <v>0</v>
          </cell>
        </row>
        <row r="342"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 t="str">
            <v>-</v>
          </cell>
          <cell r="S342">
            <v>0</v>
          </cell>
        </row>
        <row r="343"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 t="str">
            <v>-</v>
          </cell>
          <cell r="S343">
            <v>0</v>
          </cell>
        </row>
        <row r="344"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 t="str">
            <v>-</v>
          </cell>
          <cell r="S344">
            <v>0</v>
          </cell>
        </row>
        <row r="345">
          <cell r="C345" t="str">
            <v>Wireline Access Network - Copper &amp; Fiber</v>
          </cell>
          <cell r="D345">
            <v>600000</v>
          </cell>
          <cell r="E345">
            <v>600000</v>
          </cell>
          <cell r="F345">
            <v>600000</v>
          </cell>
          <cell r="G345">
            <v>600000</v>
          </cell>
          <cell r="H345">
            <v>600000</v>
          </cell>
          <cell r="I345">
            <v>600000</v>
          </cell>
          <cell r="J345">
            <v>390000</v>
          </cell>
          <cell r="K345">
            <v>390000</v>
          </cell>
          <cell r="L345">
            <v>390000</v>
          </cell>
          <cell r="M345">
            <v>390000</v>
          </cell>
          <cell r="N345">
            <v>390000</v>
          </cell>
          <cell r="O345">
            <v>390000</v>
          </cell>
          <cell r="P345">
            <v>5940000</v>
          </cell>
          <cell r="Q345" t="str">
            <v>T</v>
          </cell>
          <cell r="R345">
            <v>0</v>
          </cell>
          <cell r="S345">
            <v>0</v>
          </cell>
        </row>
        <row r="346"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 t="str">
            <v>-</v>
          </cell>
          <cell r="S346">
            <v>0</v>
          </cell>
        </row>
        <row r="347">
          <cell r="C347" t="str">
            <v>Total Access Network</v>
          </cell>
          <cell r="D347">
            <v>131622750.40000001</v>
          </cell>
          <cell r="E347">
            <v>164165245.28832182</v>
          </cell>
          <cell r="F347">
            <v>322013081.45904183</v>
          </cell>
          <cell r="G347">
            <v>190687765.65818182</v>
          </cell>
          <cell r="H347">
            <v>211155965.65818182</v>
          </cell>
          <cell r="I347">
            <v>244745259.08918181</v>
          </cell>
          <cell r="J347">
            <v>244001271.8581818</v>
          </cell>
          <cell r="K347">
            <v>214545767.56868181</v>
          </cell>
          <cell r="L347">
            <v>220519992.72918183</v>
          </cell>
          <cell r="M347">
            <v>294861735.85818183</v>
          </cell>
          <cell r="N347">
            <v>270989338.86429179</v>
          </cell>
          <cell r="O347">
            <v>360862612.25538999</v>
          </cell>
          <cell r="P347">
            <v>2870170786.6868181</v>
          </cell>
          <cell r="Q347" t="str">
            <v>T</v>
          </cell>
          <cell r="S347">
            <v>0</v>
          </cell>
        </row>
        <row r="348"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 t="str">
            <v>-</v>
          </cell>
          <cell r="S348">
            <v>0</v>
          </cell>
        </row>
        <row r="349">
          <cell r="C349" t="str">
            <v>Other Fixed Core &amp; control network</v>
          </cell>
          <cell r="D349">
            <v>0</v>
          </cell>
          <cell r="E349">
            <v>2274854.4</v>
          </cell>
          <cell r="F349">
            <v>0</v>
          </cell>
          <cell r="G349">
            <v>745920</v>
          </cell>
          <cell r="H349">
            <v>18144000</v>
          </cell>
          <cell r="I349">
            <v>11091225.6</v>
          </cell>
          <cell r="J349">
            <v>2016000</v>
          </cell>
          <cell r="K349">
            <v>0</v>
          </cell>
          <cell r="L349">
            <v>4032000</v>
          </cell>
          <cell r="M349">
            <v>0</v>
          </cell>
          <cell r="N349">
            <v>0</v>
          </cell>
          <cell r="O349">
            <v>0</v>
          </cell>
          <cell r="P349">
            <v>38304000</v>
          </cell>
          <cell r="Q349" t="str">
            <v>T</v>
          </cell>
          <cell r="S349">
            <v>0</v>
          </cell>
        </row>
        <row r="350">
          <cell r="C350" t="str">
            <v>2G BSS Swap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 t="str">
            <v>-</v>
          </cell>
          <cell r="S350">
            <v>0</v>
          </cell>
        </row>
        <row r="351">
          <cell r="C351" t="str">
            <v>STP Extension</v>
          </cell>
          <cell r="D351">
            <v>0</v>
          </cell>
          <cell r="E351">
            <v>1270080</v>
          </cell>
          <cell r="F351">
            <v>0</v>
          </cell>
          <cell r="G351">
            <v>745920</v>
          </cell>
          <cell r="H351">
            <v>0</v>
          </cell>
          <cell r="I351">
            <v>0</v>
          </cell>
          <cell r="J351">
            <v>2016000</v>
          </cell>
          <cell r="K351">
            <v>0</v>
          </cell>
          <cell r="L351">
            <v>4032000</v>
          </cell>
          <cell r="M351">
            <v>0</v>
          </cell>
          <cell r="N351">
            <v>0</v>
          </cell>
          <cell r="O351">
            <v>0</v>
          </cell>
          <cell r="P351">
            <v>8064000</v>
          </cell>
          <cell r="Q351" t="str">
            <v>-</v>
          </cell>
          <cell r="S351" t="str">
            <v>Core</v>
          </cell>
        </row>
        <row r="352">
          <cell r="C352" t="str">
            <v>SDM</v>
          </cell>
          <cell r="D352">
            <v>0</v>
          </cell>
          <cell r="E352">
            <v>1004774.4</v>
          </cell>
          <cell r="F352">
            <v>0</v>
          </cell>
          <cell r="G352">
            <v>0</v>
          </cell>
          <cell r="H352">
            <v>18144000</v>
          </cell>
          <cell r="I352">
            <v>11091225.6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30240000</v>
          </cell>
          <cell r="Q352" t="str">
            <v>-</v>
          </cell>
          <cell r="S352" t="str">
            <v>Core</v>
          </cell>
        </row>
        <row r="353">
          <cell r="C353" t="str">
            <v>Cashing &amp; network service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 t="str">
            <v>-</v>
          </cell>
          <cell r="S353">
            <v>0</v>
          </cell>
        </row>
        <row r="354">
          <cell r="C354" t="str">
            <v>Agg Swap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 t="str">
            <v>-</v>
          </cell>
          <cell r="S354">
            <v>0</v>
          </cell>
        </row>
        <row r="355"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 t="str">
            <v>-</v>
          </cell>
          <cell r="S355">
            <v>0</v>
          </cell>
        </row>
        <row r="356"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 t="str">
            <v>-</v>
          </cell>
          <cell r="S356">
            <v>0</v>
          </cell>
        </row>
        <row r="357">
          <cell r="C357" t="str">
            <v>PSTN Switching Network</v>
          </cell>
          <cell r="D357">
            <v>0</v>
          </cell>
          <cell r="E357">
            <v>2274854.4</v>
          </cell>
          <cell r="F357">
            <v>0</v>
          </cell>
          <cell r="G357">
            <v>745920</v>
          </cell>
          <cell r="H357">
            <v>18144000</v>
          </cell>
          <cell r="I357">
            <v>11091225.6</v>
          </cell>
          <cell r="J357">
            <v>2016000</v>
          </cell>
          <cell r="K357">
            <v>0</v>
          </cell>
          <cell r="L357">
            <v>4032000</v>
          </cell>
          <cell r="M357">
            <v>0</v>
          </cell>
          <cell r="N357">
            <v>0</v>
          </cell>
          <cell r="O357">
            <v>0</v>
          </cell>
          <cell r="P357">
            <v>38304000</v>
          </cell>
          <cell r="Q357" t="str">
            <v>T</v>
          </cell>
          <cell r="R357">
            <v>0</v>
          </cell>
          <cell r="S357">
            <v>0</v>
          </cell>
        </row>
        <row r="358"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 t="str">
            <v>-</v>
          </cell>
          <cell r="S358">
            <v>0</v>
          </cell>
        </row>
        <row r="359">
          <cell r="C359" t="str">
            <v>2G mobile circuit-switched core network (-&gt;2010/02)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 t="str">
            <v>T</v>
          </cell>
          <cell r="S359">
            <v>0</v>
          </cell>
        </row>
        <row r="360"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 t="str">
            <v>-</v>
          </cell>
          <cell r="S360">
            <v>0</v>
          </cell>
        </row>
        <row r="361"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 t="str">
            <v>-</v>
          </cell>
          <cell r="S361">
            <v>0</v>
          </cell>
        </row>
        <row r="362"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 t="str">
            <v>-</v>
          </cell>
          <cell r="S362">
            <v>0</v>
          </cell>
        </row>
        <row r="363"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 t="str">
            <v>-</v>
          </cell>
          <cell r="S363">
            <v>0</v>
          </cell>
        </row>
        <row r="364"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 t="str">
            <v>-</v>
          </cell>
          <cell r="S364">
            <v>0</v>
          </cell>
        </row>
        <row r="365"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 t="str">
            <v>-</v>
          </cell>
          <cell r="S365">
            <v>0</v>
          </cell>
        </row>
        <row r="366"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 t="str">
            <v>-</v>
          </cell>
          <cell r="S366">
            <v>0</v>
          </cell>
        </row>
        <row r="367"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 t="str">
            <v>-</v>
          </cell>
          <cell r="S367">
            <v>0</v>
          </cell>
        </row>
        <row r="368">
          <cell r="C368" t="str">
            <v>3G mobile circuit-switched core network (-&gt;2010/02)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 t="str">
            <v>T</v>
          </cell>
          <cell r="S368">
            <v>0</v>
          </cell>
        </row>
        <row r="369"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 t="str">
            <v>-</v>
          </cell>
          <cell r="S369">
            <v>0</v>
          </cell>
        </row>
        <row r="370"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 t="str">
            <v>-</v>
          </cell>
          <cell r="S370">
            <v>0</v>
          </cell>
        </row>
        <row r="371"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 t="str">
            <v>-</v>
          </cell>
          <cell r="S371">
            <v>0</v>
          </cell>
        </row>
        <row r="372"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 t="str">
            <v>-</v>
          </cell>
          <cell r="S372">
            <v>0</v>
          </cell>
        </row>
        <row r="373"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 t="str">
            <v>-</v>
          </cell>
          <cell r="S373">
            <v>0</v>
          </cell>
        </row>
        <row r="374"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 t="str">
            <v>-</v>
          </cell>
          <cell r="S374">
            <v>0</v>
          </cell>
        </row>
        <row r="375"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 t="str">
            <v>-</v>
          </cell>
          <cell r="S375">
            <v>0</v>
          </cell>
        </row>
        <row r="376"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 t="str">
            <v>-</v>
          </cell>
          <cell r="S376">
            <v>0</v>
          </cell>
        </row>
        <row r="377">
          <cell r="C377" t="str">
            <v>2G/3G mobile circuit-switched core network</v>
          </cell>
          <cell r="D377">
            <v>8104320</v>
          </cell>
          <cell r="E377">
            <v>25300800</v>
          </cell>
          <cell r="F377">
            <v>6048000</v>
          </cell>
          <cell r="G377">
            <v>8426880</v>
          </cell>
          <cell r="H377">
            <v>604800</v>
          </cell>
          <cell r="I377">
            <v>1048320</v>
          </cell>
          <cell r="J377">
            <v>0</v>
          </cell>
          <cell r="K377">
            <v>604800</v>
          </cell>
          <cell r="L377">
            <v>2580480</v>
          </cell>
          <cell r="M377">
            <v>0</v>
          </cell>
          <cell r="N377">
            <v>0</v>
          </cell>
          <cell r="O377">
            <v>3729600</v>
          </cell>
          <cell r="P377">
            <v>56448000</v>
          </cell>
          <cell r="Q377" t="str">
            <v>T</v>
          </cell>
          <cell r="S377">
            <v>0</v>
          </cell>
        </row>
        <row r="378">
          <cell r="C378" t="str">
            <v>C7 Monitoring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 t="str">
            <v>-</v>
          </cell>
          <cell r="S378">
            <v>0</v>
          </cell>
        </row>
        <row r="379">
          <cell r="C379" t="str">
            <v>WTC MOVE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 t="str">
            <v>-</v>
          </cell>
          <cell r="S379">
            <v>0</v>
          </cell>
        </row>
        <row r="380">
          <cell r="C380" t="str">
            <v>New Soft switches</v>
          </cell>
          <cell r="D380">
            <v>0</v>
          </cell>
          <cell r="E380">
            <v>15120000</v>
          </cell>
          <cell r="F380">
            <v>0</v>
          </cell>
          <cell r="G380">
            <v>604800</v>
          </cell>
          <cell r="H380">
            <v>604800</v>
          </cell>
          <cell r="I380">
            <v>604800</v>
          </cell>
          <cell r="J380">
            <v>0</v>
          </cell>
          <cell r="K380">
            <v>604800</v>
          </cell>
          <cell r="L380">
            <v>604800</v>
          </cell>
          <cell r="M380">
            <v>0</v>
          </cell>
          <cell r="N380">
            <v>0</v>
          </cell>
          <cell r="O380">
            <v>0</v>
          </cell>
          <cell r="P380">
            <v>18144000</v>
          </cell>
          <cell r="Q380" t="str">
            <v>-</v>
          </cell>
          <cell r="S380" t="str">
            <v>Core</v>
          </cell>
        </row>
        <row r="381">
          <cell r="C381" t="str">
            <v>New NSS SW Releases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 t="str">
            <v>-</v>
          </cell>
          <cell r="S381">
            <v>0</v>
          </cell>
        </row>
        <row r="382">
          <cell r="C382" t="str">
            <v>Gateways</v>
          </cell>
          <cell r="D382">
            <v>0</v>
          </cell>
          <cell r="E382">
            <v>4132800</v>
          </cell>
          <cell r="F382">
            <v>0</v>
          </cell>
          <cell r="G382">
            <v>1774080</v>
          </cell>
          <cell r="H382">
            <v>0</v>
          </cell>
          <cell r="I382">
            <v>443520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3729600</v>
          </cell>
          <cell r="P382">
            <v>10080000</v>
          </cell>
          <cell r="Q382" t="str">
            <v>-</v>
          </cell>
          <cell r="S382" t="str">
            <v>Core</v>
          </cell>
        </row>
        <row r="383">
          <cell r="C383" t="str">
            <v>Remote Control Facility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 t="str">
            <v>-</v>
          </cell>
          <cell r="S383">
            <v>0</v>
          </cell>
        </row>
        <row r="384">
          <cell r="C384" t="str">
            <v>LTE -Core</v>
          </cell>
          <cell r="D384">
            <v>0</v>
          </cell>
          <cell r="E384">
            <v>6048000</v>
          </cell>
          <cell r="F384">
            <v>2016000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8064000</v>
          </cell>
          <cell r="Q384" t="str">
            <v>-</v>
          </cell>
          <cell r="S384" t="str">
            <v>Core</v>
          </cell>
        </row>
        <row r="385">
          <cell r="C385" t="str">
            <v>VoLTE</v>
          </cell>
          <cell r="D385">
            <v>8104320</v>
          </cell>
          <cell r="E385">
            <v>0</v>
          </cell>
          <cell r="F385">
            <v>4032000</v>
          </cell>
          <cell r="G385">
            <v>6048000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1975680</v>
          </cell>
          <cell r="M385">
            <v>0</v>
          </cell>
          <cell r="N385">
            <v>0</v>
          </cell>
          <cell r="O385">
            <v>0</v>
          </cell>
          <cell r="P385">
            <v>20160000</v>
          </cell>
          <cell r="Q385" t="str">
            <v>-</v>
          </cell>
          <cell r="S385" t="str">
            <v xml:space="preserve"> Core </v>
          </cell>
        </row>
        <row r="386">
          <cell r="C386" t="str">
            <v>LIG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 t="str">
            <v>-</v>
          </cell>
          <cell r="S386">
            <v>0</v>
          </cell>
        </row>
        <row r="387"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 t="str">
            <v>-</v>
          </cell>
          <cell r="S387">
            <v>0</v>
          </cell>
        </row>
        <row r="388">
          <cell r="C388" t="str">
            <v>2G mobile packet core network equipment &amp; releases (-&gt;2010/02)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 t="str">
            <v>T</v>
          </cell>
          <cell r="S388">
            <v>0</v>
          </cell>
        </row>
        <row r="389"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 t="str">
            <v>-</v>
          </cell>
          <cell r="S389">
            <v>0</v>
          </cell>
        </row>
        <row r="390"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 t="str">
            <v>-</v>
          </cell>
          <cell r="S390">
            <v>0</v>
          </cell>
        </row>
        <row r="391"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 t="str">
            <v>-</v>
          </cell>
          <cell r="S391">
            <v>0</v>
          </cell>
        </row>
        <row r="392"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 t="str">
            <v>-</v>
          </cell>
          <cell r="S392">
            <v>0</v>
          </cell>
        </row>
        <row r="393"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 t="str">
            <v>-</v>
          </cell>
          <cell r="S393">
            <v>0</v>
          </cell>
        </row>
        <row r="394"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 t="str">
            <v>-</v>
          </cell>
          <cell r="S394">
            <v>0</v>
          </cell>
        </row>
        <row r="395"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 t="str">
            <v>-</v>
          </cell>
          <cell r="S395">
            <v>0</v>
          </cell>
        </row>
        <row r="396"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 t="str">
            <v>-</v>
          </cell>
          <cell r="S396">
            <v>0</v>
          </cell>
        </row>
        <row r="397">
          <cell r="C397" t="str">
            <v>3G mobile packet core network equipment &amp; releases (-&gt;2010/02)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 t="str">
            <v>T</v>
          </cell>
          <cell r="S397">
            <v>0</v>
          </cell>
        </row>
        <row r="398"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 t="str">
            <v>-</v>
          </cell>
          <cell r="S398">
            <v>0</v>
          </cell>
        </row>
        <row r="399"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 t="str">
            <v>-</v>
          </cell>
          <cell r="S399">
            <v>0</v>
          </cell>
        </row>
        <row r="400"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 t="str">
            <v>-</v>
          </cell>
          <cell r="S400">
            <v>0</v>
          </cell>
        </row>
        <row r="401"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 t="str">
            <v>-</v>
          </cell>
          <cell r="S401">
            <v>0</v>
          </cell>
        </row>
        <row r="402"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 t="str">
            <v>-</v>
          </cell>
          <cell r="S402">
            <v>0</v>
          </cell>
        </row>
        <row r="403"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 t="str">
            <v>-</v>
          </cell>
          <cell r="S403">
            <v>0</v>
          </cell>
        </row>
        <row r="404"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 t="str">
            <v>-</v>
          </cell>
          <cell r="S404">
            <v>0</v>
          </cell>
        </row>
        <row r="405"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 t="str">
            <v>-</v>
          </cell>
          <cell r="S405">
            <v>0</v>
          </cell>
        </row>
        <row r="406">
          <cell r="C406" t="str">
            <v>2G/3G mobile packet core network</v>
          </cell>
          <cell r="D406">
            <v>12549491.0275</v>
          </cell>
          <cell r="E406">
            <v>11533491.0275</v>
          </cell>
          <cell r="F406">
            <v>10533491.0275</v>
          </cell>
          <cell r="G406">
            <v>14571631.377499999</v>
          </cell>
          <cell r="H406">
            <v>22619631.377500001</v>
          </cell>
          <cell r="I406">
            <v>17255631.377500001</v>
          </cell>
          <cell r="J406">
            <v>20619631.377500001</v>
          </cell>
          <cell r="K406">
            <v>10558149.683333334</v>
          </cell>
          <cell r="L406">
            <v>17158149.683333334</v>
          </cell>
          <cell r="M406">
            <v>22258149.683333334</v>
          </cell>
          <cell r="N406">
            <v>32718149.683333334</v>
          </cell>
          <cell r="O406">
            <v>33702149.68333333</v>
          </cell>
          <cell r="P406">
            <v>226077747.00916666</v>
          </cell>
          <cell r="Q406" t="str">
            <v>T</v>
          </cell>
          <cell r="S406">
            <v>0</v>
          </cell>
        </row>
        <row r="407">
          <cell r="C407" t="str">
            <v>EPC &amp; Paco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 t="str">
            <v>-</v>
          </cell>
          <cell r="S407">
            <v>0</v>
          </cell>
        </row>
        <row r="408">
          <cell r="C408" t="str">
            <v>NSS Spare Parts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420000</v>
          </cell>
          <cell r="N408">
            <v>1000000</v>
          </cell>
          <cell r="O408">
            <v>1000000</v>
          </cell>
          <cell r="P408">
            <v>2420000</v>
          </cell>
          <cell r="Q408" t="str">
            <v>-</v>
          </cell>
          <cell r="S408" t="str">
            <v>Core</v>
          </cell>
        </row>
        <row r="409">
          <cell r="C409" t="str">
            <v>Core &amp; VAS Tools</v>
          </cell>
          <cell r="D409">
            <v>0</v>
          </cell>
          <cell r="E409">
            <v>1000000</v>
          </cell>
          <cell r="F409">
            <v>0</v>
          </cell>
          <cell r="G409">
            <v>0</v>
          </cell>
          <cell r="H409">
            <v>0</v>
          </cell>
          <cell r="I409">
            <v>500000</v>
          </cell>
          <cell r="J409">
            <v>0</v>
          </cell>
          <cell r="K409">
            <v>0</v>
          </cell>
          <cell r="L409">
            <v>6000000</v>
          </cell>
          <cell r="M409">
            <v>0</v>
          </cell>
          <cell r="N409">
            <v>0</v>
          </cell>
          <cell r="O409">
            <v>2000000</v>
          </cell>
          <cell r="P409">
            <v>9500000</v>
          </cell>
          <cell r="Q409" t="str">
            <v>-</v>
          </cell>
          <cell r="S409" t="str">
            <v>Core</v>
          </cell>
        </row>
        <row r="410">
          <cell r="C410" t="str">
            <v>Core Environments Spare Part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2000000</v>
          </cell>
          <cell r="I410">
            <v>4200000</v>
          </cell>
          <cell r="J410">
            <v>0</v>
          </cell>
          <cell r="K410">
            <v>0</v>
          </cell>
          <cell r="L410">
            <v>600000</v>
          </cell>
          <cell r="M410">
            <v>1200000</v>
          </cell>
          <cell r="N410">
            <v>1000000</v>
          </cell>
          <cell r="O410">
            <v>2000000</v>
          </cell>
          <cell r="P410">
            <v>11000000</v>
          </cell>
          <cell r="Q410" t="str">
            <v>-</v>
          </cell>
          <cell r="S410" t="str">
            <v>Core</v>
          </cell>
        </row>
        <row r="411">
          <cell r="C411" t="str">
            <v>Fixed IP spares and tools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 t="str">
            <v>-</v>
          </cell>
          <cell r="S411">
            <v>0</v>
          </cell>
        </row>
        <row r="412">
          <cell r="C412" t="str">
            <v>LTE -Packet</v>
          </cell>
          <cell r="D412">
            <v>12096000</v>
          </cell>
          <cell r="E412">
            <v>10080000</v>
          </cell>
          <cell r="F412">
            <v>10080000</v>
          </cell>
          <cell r="G412">
            <v>14112000</v>
          </cell>
          <cell r="H412">
            <v>20160000</v>
          </cell>
          <cell r="I412">
            <v>12096000</v>
          </cell>
          <cell r="J412">
            <v>20160000</v>
          </cell>
          <cell r="K412">
            <v>10080000</v>
          </cell>
          <cell r="L412">
            <v>10080000</v>
          </cell>
          <cell r="M412">
            <v>20160000</v>
          </cell>
          <cell r="N412">
            <v>30240000</v>
          </cell>
          <cell r="O412">
            <v>28224000</v>
          </cell>
          <cell r="P412">
            <v>197568000</v>
          </cell>
          <cell r="Q412" t="str">
            <v>-</v>
          </cell>
          <cell r="R412">
            <v>0</v>
          </cell>
          <cell r="S412" t="str">
            <v xml:space="preserve"> Core </v>
          </cell>
        </row>
        <row r="413">
          <cell r="C413" t="str">
            <v>Projects Support MS</v>
          </cell>
          <cell r="D413">
            <v>453491.02750000003</v>
          </cell>
          <cell r="E413">
            <v>453491.02750000003</v>
          </cell>
          <cell r="F413">
            <v>453491.02750000003</v>
          </cell>
          <cell r="G413">
            <v>459631.3775</v>
          </cell>
          <cell r="H413">
            <v>459631.3775</v>
          </cell>
          <cell r="I413">
            <v>459631.3775</v>
          </cell>
          <cell r="J413">
            <v>459631.3775</v>
          </cell>
          <cell r="K413">
            <v>478149.68333333329</v>
          </cell>
          <cell r="L413">
            <v>478149.68333333329</v>
          </cell>
          <cell r="M413">
            <v>478149.68333333329</v>
          </cell>
          <cell r="N413">
            <v>478149.68333333329</v>
          </cell>
          <cell r="O413">
            <v>478149.68333333329</v>
          </cell>
          <cell r="P413">
            <v>5589747.0091666663</v>
          </cell>
          <cell r="Q413" t="str">
            <v>-</v>
          </cell>
          <cell r="S413" t="str">
            <v xml:space="preserve"> Core </v>
          </cell>
        </row>
        <row r="414"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 t="str">
            <v>-</v>
          </cell>
          <cell r="S414">
            <v>0</v>
          </cell>
        </row>
        <row r="415">
          <cell r="C415" t="str">
            <v>Mobile Core Network</v>
          </cell>
          <cell r="D415">
            <v>20653811.0275</v>
          </cell>
          <cell r="E415">
            <v>36834291.027500004</v>
          </cell>
          <cell r="F415">
            <v>16581491.0275</v>
          </cell>
          <cell r="G415">
            <v>22998511.377499998</v>
          </cell>
          <cell r="H415">
            <v>23224431.377500001</v>
          </cell>
          <cell r="I415">
            <v>18303951.377500001</v>
          </cell>
          <cell r="J415">
            <v>20619631.377500001</v>
          </cell>
          <cell r="K415">
            <v>11162949.683333334</v>
          </cell>
          <cell r="L415">
            <v>19738629.683333334</v>
          </cell>
          <cell r="M415">
            <v>22258149.683333334</v>
          </cell>
          <cell r="N415">
            <v>32718149.683333334</v>
          </cell>
          <cell r="O415">
            <v>37431749.68333333</v>
          </cell>
          <cell r="P415">
            <v>282525747.00916666</v>
          </cell>
          <cell r="Q415" t="str">
            <v>T</v>
          </cell>
          <cell r="R415">
            <v>0</v>
          </cell>
          <cell r="S415">
            <v>0</v>
          </cell>
        </row>
        <row r="416"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 t="str">
            <v>-</v>
          </cell>
          <cell r="S416">
            <v>0</v>
          </cell>
        </row>
        <row r="417">
          <cell r="C417" t="str">
            <v>IMS network equipments &amp; releases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 t="str">
            <v>T</v>
          </cell>
          <cell r="S417">
            <v>0</v>
          </cell>
        </row>
        <row r="418"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 t="str">
            <v>-</v>
          </cell>
          <cell r="S418">
            <v>0</v>
          </cell>
        </row>
        <row r="419"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 t="str">
            <v>-</v>
          </cell>
          <cell r="S419">
            <v>0</v>
          </cell>
        </row>
        <row r="420"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 t="str">
            <v>-</v>
          </cell>
          <cell r="S420">
            <v>0</v>
          </cell>
        </row>
        <row r="421"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 t="str">
            <v>-</v>
          </cell>
          <cell r="S421">
            <v>0</v>
          </cell>
        </row>
        <row r="422"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 t="str">
            <v>-</v>
          </cell>
          <cell r="S422">
            <v>0</v>
          </cell>
        </row>
        <row r="423"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 t="str">
            <v>-</v>
          </cell>
          <cell r="S423">
            <v>0</v>
          </cell>
        </row>
        <row r="424"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 t="str">
            <v>-</v>
          </cell>
          <cell r="S424">
            <v>0</v>
          </cell>
        </row>
        <row r="425"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 t="str">
            <v>-</v>
          </cell>
          <cell r="S425">
            <v>0</v>
          </cell>
        </row>
        <row r="426">
          <cell r="C426" t="str">
            <v>VoIP servers, TDM-IP gateways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 t="str">
            <v>T</v>
          </cell>
          <cell r="S426">
            <v>0</v>
          </cell>
        </row>
        <row r="427"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 t="str">
            <v>-</v>
          </cell>
          <cell r="S427">
            <v>0</v>
          </cell>
        </row>
        <row r="428"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 t="str">
            <v>-</v>
          </cell>
          <cell r="S428">
            <v>0</v>
          </cell>
        </row>
        <row r="429"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 t="str">
            <v>-</v>
          </cell>
          <cell r="S429">
            <v>0</v>
          </cell>
        </row>
        <row r="430"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 t="str">
            <v>-</v>
          </cell>
          <cell r="S430">
            <v>0</v>
          </cell>
        </row>
        <row r="431"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 t="str">
            <v>-</v>
          </cell>
          <cell r="S431">
            <v>0</v>
          </cell>
        </row>
        <row r="432"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 t="str">
            <v>-</v>
          </cell>
          <cell r="S432">
            <v>0</v>
          </cell>
        </row>
        <row r="433"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 t="str">
            <v>-</v>
          </cell>
          <cell r="S433">
            <v>0</v>
          </cell>
        </row>
        <row r="434"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 t="str">
            <v>-</v>
          </cell>
          <cell r="S434">
            <v>0</v>
          </cell>
        </row>
        <row r="435">
          <cell r="C435" t="str">
            <v>VoIP, visioconference, TDM-IP gateways software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 t="str">
            <v>T</v>
          </cell>
          <cell r="S435">
            <v>0</v>
          </cell>
        </row>
        <row r="436"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 t="str">
            <v>-</v>
          </cell>
          <cell r="S436">
            <v>0</v>
          </cell>
        </row>
        <row r="437"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 t="str">
            <v>-</v>
          </cell>
          <cell r="S437">
            <v>0</v>
          </cell>
        </row>
        <row r="438"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 t="str">
            <v>-</v>
          </cell>
          <cell r="S438">
            <v>0</v>
          </cell>
        </row>
        <row r="439"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 t="str">
            <v>-</v>
          </cell>
          <cell r="S439">
            <v>0</v>
          </cell>
        </row>
        <row r="440"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 t="str">
            <v>-</v>
          </cell>
          <cell r="S440">
            <v>0</v>
          </cell>
        </row>
        <row r="441"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 t="str">
            <v>-</v>
          </cell>
          <cell r="S441">
            <v>0</v>
          </cell>
        </row>
        <row r="442"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 t="str">
            <v>-</v>
          </cell>
          <cell r="S442">
            <v>0</v>
          </cell>
        </row>
        <row r="443"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 t="str">
            <v>-</v>
          </cell>
          <cell r="S443">
            <v>0</v>
          </cell>
        </row>
        <row r="444">
          <cell r="C444" t="str">
            <v>Other dedicated network nodes equipments (-&gt;2010/02)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 t="str">
            <v>T</v>
          </cell>
          <cell r="S444">
            <v>0</v>
          </cell>
        </row>
        <row r="445"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 t="str">
            <v>-</v>
          </cell>
          <cell r="S445">
            <v>0</v>
          </cell>
        </row>
        <row r="446"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 t="str">
            <v>-</v>
          </cell>
          <cell r="S446">
            <v>0</v>
          </cell>
        </row>
        <row r="447"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 t="str">
            <v>-</v>
          </cell>
          <cell r="S447">
            <v>0</v>
          </cell>
        </row>
        <row r="448"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 t="str">
            <v>-</v>
          </cell>
          <cell r="S448">
            <v>0</v>
          </cell>
        </row>
        <row r="449"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 t="str">
            <v>-</v>
          </cell>
          <cell r="S449">
            <v>0</v>
          </cell>
        </row>
        <row r="450"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 t="str">
            <v>-</v>
          </cell>
          <cell r="S450">
            <v>0</v>
          </cell>
        </row>
        <row r="451"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 t="str">
            <v>-</v>
          </cell>
          <cell r="S451">
            <v>0</v>
          </cell>
        </row>
        <row r="452"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 t="str">
            <v>-</v>
          </cell>
          <cell r="S452">
            <v>0</v>
          </cell>
        </row>
        <row r="453">
          <cell r="C453" t="str">
            <v>Video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 t="str">
            <v>T</v>
          </cell>
          <cell r="S453">
            <v>0</v>
          </cell>
        </row>
        <row r="454"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 t="str">
            <v>-</v>
          </cell>
          <cell r="S454">
            <v>0</v>
          </cell>
        </row>
        <row r="455"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 t="str">
            <v>-</v>
          </cell>
          <cell r="S455">
            <v>0</v>
          </cell>
        </row>
        <row r="456"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 t="str">
            <v>-</v>
          </cell>
          <cell r="S456">
            <v>0</v>
          </cell>
        </row>
        <row r="457"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 t="str">
            <v>-</v>
          </cell>
          <cell r="S457">
            <v>0</v>
          </cell>
        </row>
        <row r="458"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 t="str">
            <v>-</v>
          </cell>
          <cell r="S458">
            <v>0</v>
          </cell>
        </row>
        <row r="459"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 t="str">
            <v>-</v>
          </cell>
          <cell r="S459">
            <v>0</v>
          </cell>
        </row>
        <row r="460"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 t="str">
            <v>-</v>
          </cell>
          <cell r="S460">
            <v>0</v>
          </cell>
        </row>
        <row r="461"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 t="str">
            <v>-</v>
          </cell>
          <cell r="S461">
            <v>0</v>
          </cell>
        </row>
        <row r="462">
          <cell r="C462" t="str">
            <v>IMS &amp; VoIP Network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 t="str">
            <v>T</v>
          </cell>
          <cell r="R462">
            <v>0</v>
          </cell>
          <cell r="S462">
            <v>0</v>
          </cell>
        </row>
        <row r="463"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 t="str">
            <v>-</v>
          </cell>
          <cell r="S463">
            <v>0</v>
          </cell>
        </row>
        <row r="464">
          <cell r="C464" t="str">
            <v>Network architecture generic studies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 t="str">
            <v>T</v>
          </cell>
          <cell r="S464">
            <v>0</v>
          </cell>
        </row>
        <row r="465"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 t="str">
            <v>-</v>
          </cell>
          <cell r="S465">
            <v>0</v>
          </cell>
        </row>
        <row r="466"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 t="str">
            <v>-</v>
          </cell>
          <cell r="S466">
            <v>0</v>
          </cell>
        </row>
        <row r="467"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 t="str">
            <v>-</v>
          </cell>
          <cell r="S467">
            <v>0</v>
          </cell>
        </row>
        <row r="468"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 t="str">
            <v>-</v>
          </cell>
          <cell r="S468">
            <v>0</v>
          </cell>
        </row>
        <row r="469"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 t="str">
            <v>-</v>
          </cell>
          <cell r="S469">
            <v>0</v>
          </cell>
        </row>
        <row r="470"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 t="str">
            <v>-</v>
          </cell>
          <cell r="S470">
            <v>0</v>
          </cell>
        </row>
        <row r="471"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 t="str">
            <v>-</v>
          </cell>
          <cell r="S471">
            <v>0</v>
          </cell>
        </row>
        <row r="472"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 t="str">
            <v>-</v>
          </cell>
          <cell r="S472">
            <v>0</v>
          </cell>
        </row>
        <row r="473">
          <cell r="C473" t="str">
            <v>Other common infrastructure and equipments (-&gt;2010/02)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 t="str">
            <v>T</v>
          </cell>
          <cell r="S473">
            <v>0</v>
          </cell>
        </row>
        <row r="474"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 t="str">
            <v>-</v>
          </cell>
          <cell r="S474">
            <v>0</v>
          </cell>
        </row>
        <row r="475"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 t="str">
            <v>-</v>
          </cell>
          <cell r="S475">
            <v>0</v>
          </cell>
        </row>
        <row r="476"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 t="str">
            <v>-</v>
          </cell>
          <cell r="S476">
            <v>0</v>
          </cell>
        </row>
        <row r="477"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 t="str">
            <v>-</v>
          </cell>
          <cell r="S477">
            <v>0</v>
          </cell>
        </row>
        <row r="478"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 t="str">
            <v>-</v>
          </cell>
          <cell r="S478">
            <v>0</v>
          </cell>
        </row>
        <row r="479"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 t="str">
            <v>-</v>
          </cell>
          <cell r="S479">
            <v>0</v>
          </cell>
        </row>
        <row r="480"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 t="str">
            <v>-</v>
          </cell>
          <cell r="S480">
            <v>0</v>
          </cell>
        </row>
        <row r="481"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 t="str">
            <v>-</v>
          </cell>
          <cell r="S481">
            <v>0</v>
          </cell>
        </row>
        <row r="482">
          <cell r="C482" t="str">
            <v>Signaling &amp; Service control equipments &amp; releases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 t="str">
            <v>T</v>
          </cell>
          <cell r="S482">
            <v>0</v>
          </cell>
        </row>
        <row r="483"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 t="str">
            <v>-</v>
          </cell>
          <cell r="S483">
            <v>0</v>
          </cell>
        </row>
        <row r="484"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 t="str">
            <v>-</v>
          </cell>
          <cell r="S484">
            <v>0</v>
          </cell>
        </row>
        <row r="485"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 t="str">
            <v>-</v>
          </cell>
          <cell r="S485">
            <v>0</v>
          </cell>
        </row>
        <row r="486"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 t="str">
            <v>-</v>
          </cell>
          <cell r="S486">
            <v>0</v>
          </cell>
        </row>
        <row r="487"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 t="str">
            <v>-</v>
          </cell>
          <cell r="S487">
            <v>0</v>
          </cell>
        </row>
        <row r="488"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 t="str">
            <v>-</v>
          </cell>
          <cell r="S488">
            <v>0</v>
          </cell>
        </row>
        <row r="489"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 t="str">
            <v>-</v>
          </cell>
          <cell r="S489">
            <v>0</v>
          </cell>
        </row>
        <row r="490"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 t="str">
            <v>-</v>
          </cell>
          <cell r="S490">
            <v>0</v>
          </cell>
        </row>
        <row r="491">
          <cell r="C491" t="str">
            <v>Core network common infrastructures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 t="str">
            <v>T</v>
          </cell>
          <cell r="S491">
            <v>0</v>
          </cell>
        </row>
        <row r="492"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 t="str">
            <v>-</v>
          </cell>
          <cell r="S492">
            <v>0</v>
          </cell>
        </row>
        <row r="493"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 t="str">
            <v>-</v>
          </cell>
          <cell r="S493">
            <v>0</v>
          </cell>
        </row>
        <row r="494"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 t="str">
            <v>-</v>
          </cell>
          <cell r="S494">
            <v>0</v>
          </cell>
        </row>
        <row r="495"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 t="str">
            <v>-</v>
          </cell>
          <cell r="S495">
            <v>0</v>
          </cell>
        </row>
        <row r="496"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 t="str">
            <v>-</v>
          </cell>
          <cell r="S496">
            <v>0</v>
          </cell>
        </row>
        <row r="497"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 t="str">
            <v>-</v>
          </cell>
          <cell r="S497">
            <v>0</v>
          </cell>
        </row>
        <row r="498"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 t="str">
            <v>-</v>
          </cell>
          <cell r="S498">
            <v>0</v>
          </cell>
        </row>
        <row r="499"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 t="str">
            <v>-</v>
          </cell>
          <cell r="S499">
            <v>0</v>
          </cell>
        </row>
        <row r="500">
          <cell r="C500" t="str">
            <v>Other Core &amp; Control Network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 t="str">
            <v>T</v>
          </cell>
          <cell r="R500">
            <v>0</v>
          </cell>
          <cell r="S500">
            <v>0</v>
          </cell>
        </row>
        <row r="501"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 t="str">
            <v>-</v>
          </cell>
          <cell r="S501">
            <v>0</v>
          </cell>
        </row>
        <row r="502">
          <cell r="C502" t="str">
            <v>Total Core &amp; Control Network</v>
          </cell>
          <cell r="D502">
            <v>20653811.0275</v>
          </cell>
          <cell r="E502">
            <v>39109145.427500002</v>
          </cell>
          <cell r="F502">
            <v>16581491.0275</v>
          </cell>
          <cell r="G502">
            <v>23744431.377499998</v>
          </cell>
          <cell r="H502">
            <v>41368431.377499998</v>
          </cell>
          <cell r="I502">
            <v>29395176.977499999</v>
          </cell>
          <cell r="J502">
            <v>22635631.377500001</v>
          </cell>
          <cell r="K502">
            <v>11162949.683333334</v>
          </cell>
          <cell r="L502">
            <v>23770629.683333334</v>
          </cell>
          <cell r="M502">
            <v>22258149.683333334</v>
          </cell>
          <cell r="N502">
            <v>32718149.683333334</v>
          </cell>
          <cell r="O502">
            <v>37431749.68333333</v>
          </cell>
          <cell r="P502">
            <v>320829747.00916666</v>
          </cell>
          <cell r="Q502" t="str">
            <v>T</v>
          </cell>
          <cell r="S502">
            <v>0</v>
          </cell>
        </row>
        <row r="503"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 t="str">
            <v>-</v>
          </cell>
          <cell r="S503">
            <v>0</v>
          </cell>
        </row>
        <row r="504">
          <cell r="C504" t="str">
            <v>IP routers equipment &amp; releases</v>
          </cell>
          <cell r="D504">
            <v>4000000</v>
          </cell>
          <cell r="E504">
            <v>6899050</v>
          </cell>
          <cell r="F504">
            <v>2750000</v>
          </cell>
          <cell r="G504">
            <v>5054200</v>
          </cell>
          <cell r="H504">
            <v>8900000</v>
          </cell>
          <cell r="I504">
            <v>10378500</v>
          </cell>
          <cell r="J504">
            <v>18050000</v>
          </cell>
          <cell r="K504">
            <v>8300000.0000000009</v>
          </cell>
          <cell r="L504">
            <v>5000000</v>
          </cell>
          <cell r="M504">
            <v>5571950</v>
          </cell>
          <cell r="N504">
            <v>2202800</v>
          </cell>
          <cell r="O504">
            <v>6550000</v>
          </cell>
          <cell r="P504">
            <v>83656500</v>
          </cell>
          <cell r="Q504" t="str">
            <v>T</v>
          </cell>
          <cell r="S504">
            <v>0</v>
          </cell>
        </row>
        <row r="505">
          <cell r="C505" t="str">
            <v>Tools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3000000</v>
          </cell>
          <cell r="P505">
            <v>3000000</v>
          </cell>
          <cell r="Q505" t="str">
            <v>-</v>
          </cell>
          <cell r="S505" t="str">
            <v xml:space="preserve"> Data Network </v>
          </cell>
        </row>
        <row r="506">
          <cell r="C506" t="str">
            <v>Data Network Expansions &amp; Enhancement</v>
          </cell>
          <cell r="D506">
            <v>0</v>
          </cell>
          <cell r="E506">
            <v>4000000</v>
          </cell>
          <cell r="F506">
            <v>2750000</v>
          </cell>
          <cell r="G506">
            <v>1000000</v>
          </cell>
          <cell r="H506">
            <v>8100000</v>
          </cell>
          <cell r="I506">
            <v>4500000</v>
          </cell>
          <cell r="J506">
            <v>11050000</v>
          </cell>
          <cell r="K506">
            <v>6300000.0000000009</v>
          </cell>
          <cell r="L506">
            <v>3000000</v>
          </cell>
          <cell r="M506">
            <v>2000000</v>
          </cell>
          <cell r="N506">
            <v>1500000</v>
          </cell>
          <cell r="O506">
            <v>3050000</v>
          </cell>
          <cell r="P506">
            <v>47250000</v>
          </cell>
          <cell r="Q506" t="str">
            <v>-</v>
          </cell>
          <cell r="R506">
            <v>0</v>
          </cell>
          <cell r="S506" t="str">
            <v>Data Network</v>
          </cell>
        </row>
        <row r="507">
          <cell r="C507" t="str">
            <v>DN Tools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 t="str">
            <v>-</v>
          </cell>
          <cell r="S507">
            <v>0</v>
          </cell>
        </row>
        <row r="508">
          <cell r="C508" t="str">
            <v>DN Spares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500000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500000</v>
          </cell>
          <cell r="P508">
            <v>1000000</v>
          </cell>
          <cell r="Q508" t="str">
            <v>-</v>
          </cell>
          <cell r="R508">
            <v>0</v>
          </cell>
          <cell r="S508" t="str">
            <v xml:space="preserve"> Data Network </v>
          </cell>
        </row>
        <row r="509">
          <cell r="C509" t="str">
            <v>Security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300000</v>
          </cell>
          <cell r="I509">
            <v>3000000</v>
          </cell>
          <cell r="J509">
            <v>7000000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10300000</v>
          </cell>
          <cell r="Q509" t="str">
            <v>-</v>
          </cell>
          <cell r="S509" t="str">
            <v>Data Network</v>
          </cell>
        </row>
        <row r="510">
          <cell r="C510" t="str">
            <v>Network upgrade</v>
          </cell>
          <cell r="D510">
            <v>4000000</v>
          </cell>
          <cell r="E510">
            <v>0</v>
          </cell>
          <cell r="F510">
            <v>0</v>
          </cell>
          <cell r="G510">
            <v>3000000</v>
          </cell>
          <cell r="H510">
            <v>0</v>
          </cell>
          <cell r="I510">
            <v>2000000</v>
          </cell>
          <cell r="J510">
            <v>0</v>
          </cell>
          <cell r="K510">
            <v>2000000</v>
          </cell>
          <cell r="L510">
            <v>2000000</v>
          </cell>
          <cell r="M510">
            <v>1200000</v>
          </cell>
          <cell r="N510">
            <v>0</v>
          </cell>
          <cell r="O510">
            <v>0</v>
          </cell>
          <cell r="P510">
            <v>14200000</v>
          </cell>
          <cell r="Q510" t="str">
            <v>-</v>
          </cell>
          <cell r="S510" t="str">
            <v xml:space="preserve"> Data Network </v>
          </cell>
        </row>
        <row r="511">
          <cell r="C511" t="str">
            <v xml:space="preserve">Fixed Enterprise &amp; Triple Play Spares &amp; tools 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 t="str">
            <v>-</v>
          </cell>
          <cell r="S511">
            <v>0</v>
          </cell>
        </row>
        <row r="512">
          <cell r="C512" t="str">
            <v>LTE - Data Network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 t="str">
            <v>-</v>
          </cell>
          <cell r="S512">
            <v>0</v>
          </cell>
        </row>
        <row r="513">
          <cell r="C513" t="str">
            <v>Cell -Mini Shops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 t="str">
            <v>-</v>
          </cell>
          <cell r="S513">
            <v>0</v>
          </cell>
        </row>
        <row r="514">
          <cell r="C514" t="str">
            <v>BNG</v>
          </cell>
          <cell r="D514">
            <v>0</v>
          </cell>
          <cell r="E514">
            <v>2899050</v>
          </cell>
          <cell r="F514">
            <v>0</v>
          </cell>
          <cell r="G514">
            <v>1054200</v>
          </cell>
          <cell r="H514">
            <v>0</v>
          </cell>
          <cell r="I514">
            <v>878500</v>
          </cell>
          <cell r="J514">
            <v>0</v>
          </cell>
          <cell r="K514">
            <v>0</v>
          </cell>
          <cell r="L514">
            <v>0</v>
          </cell>
          <cell r="M514">
            <v>2371950</v>
          </cell>
          <cell r="N514">
            <v>702800</v>
          </cell>
          <cell r="O514">
            <v>0</v>
          </cell>
          <cell r="P514">
            <v>7906500</v>
          </cell>
          <cell r="Q514" t="str">
            <v>-</v>
          </cell>
          <cell r="S514" t="str">
            <v xml:space="preserve"> Data Network </v>
          </cell>
        </row>
        <row r="515">
          <cell r="C515" t="str">
            <v>Client HW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 t="str">
            <v>-</v>
          </cell>
          <cell r="S515">
            <v>0</v>
          </cell>
        </row>
        <row r="516">
          <cell r="C516" t="str">
            <v>IP traffic management equipments &amp; releases</v>
          </cell>
          <cell r="D516">
            <v>0</v>
          </cell>
          <cell r="E516">
            <v>0</v>
          </cell>
          <cell r="F516">
            <v>0</v>
          </cell>
          <cell r="G516">
            <v>500000</v>
          </cell>
          <cell r="H516">
            <v>500000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500000</v>
          </cell>
          <cell r="N516">
            <v>0</v>
          </cell>
          <cell r="O516">
            <v>0</v>
          </cell>
          <cell r="P516">
            <v>1500000</v>
          </cell>
          <cell r="Q516" t="str">
            <v>T</v>
          </cell>
          <cell r="S516">
            <v>0</v>
          </cell>
        </row>
        <row r="517">
          <cell r="C517" t="str">
            <v xml:space="preserve">Fixed Enterprise &amp; Triple Play Spares &amp; tools 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500000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500000</v>
          </cell>
          <cell r="N517">
            <v>0</v>
          </cell>
          <cell r="O517">
            <v>0</v>
          </cell>
          <cell r="P517">
            <v>1000000</v>
          </cell>
          <cell r="Q517" t="str">
            <v>-</v>
          </cell>
          <cell r="R517" t="str">
            <v>Core</v>
          </cell>
          <cell r="S517" t="str">
            <v>Core</v>
          </cell>
        </row>
        <row r="518">
          <cell r="C518" t="str">
            <v>Fixed IP spares and tools</v>
          </cell>
          <cell r="D518">
            <v>0</v>
          </cell>
          <cell r="E518">
            <v>0</v>
          </cell>
          <cell r="F518">
            <v>0</v>
          </cell>
          <cell r="G518">
            <v>500000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500000</v>
          </cell>
          <cell r="Q518" t="str">
            <v>-</v>
          </cell>
          <cell r="R518" t="str">
            <v>Core</v>
          </cell>
          <cell r="S518" t="str">
            <v>Core</v>
          </cell>
        </row>
        <row r="519"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 t="str">
            <v>-</v>
          </cell>
          <cell r="S519">
            <v>0</v>
          </cell>
        </row>
        <row r="520"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 t="str">
            <v>-</v>
          </cell>
          <cell r="S520">
            <v>0</v>
          </cell>
        </row>
        <row r="521"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 t="str">
            <v>-</v>
          </cell>
          <cell r="S521">
            <v>0</v>
          </cell>
        </row>
        <row r="522"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 t="str">
            <v>-</v>
          </cell>
          <cell r="S522">
            <v>0</v>
          </cell>
        </row>
        <row r="523"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 t="str">
            <v>-</v>
          </cell>
          <cell r="S523">
            <v>0</v>
          </cell>
        </row>
        <row r="524"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 t="str">
            <v>-</v>
          </cell>
          <cell r="S524">
            <v>0</v>
          </cell>
        </row>
        <row r="525">
          <cell r="C525" t="str">
            <v>Internet access equipments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 t="str">
            <v>T</v>
          </cell>
          <cell r="S525">
            <v>0</v>
          </cell>
        </row>
        <row r="526"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 t="str">
            <v>-</v>
          </cell>
          <cell r="S526">
            <v>0</v>
          </cell>
        </row>
        <row r="527"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 t="str">
            <v>-</v>
          </cell>
          <cell r="S527">
            <v>0</v>
          </cell>
        </row>
        <row r="528"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 t="str">
            <v>-</v>
          </cell>
          <cell r="S528">
            <v>0</v>
          </cell>
        </row>
        <row r="529"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 t="str">
            <v>-</v>
          </cell>
          <cell r="S529">
            <v>0</v>
          </cell>
        </row>
        <row r="530"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 t="str">
            <v>-</v>
          </cell>
          <cell r="S530">
            <v>0</v>
          </cell>
        </row>
        <row r="531"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 t="str">
            <v>-</v>
          </cell>
          <cell r="S531">
            <v>0</v>
          </cell>
        </row>
        <row r="532"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 t="str">
            <v>-</v>
          </cell>
          <cell r="S532">
            <v>0</v>
          </cell>
        </row>
        <row r="533"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 t="str">
            <v>-</v>
          </cell>
          <cell r="S533">
            <v>0</v>
          </cell>
        </row>
        <row r="534">
          <cell r="C534" t="str">
            <v>IP Network</v>
          </cell>
          <cell r="D534">
            <v>4000000</v>
          </cell>
          <cell r="E534">
            <v>6899050</v>
          </cell>
          <cell r="F534">
            <v>2750000</v>
          </cell>
          <cell r="G534">
            <v>5554200</v>
          </cell>
          <cell r="H534">
            <v>9400000</v>
          </cell>
          <cell r="I534">
            <v>10378500</v>
          </cell>
          <cell r="J534">
            <v>18050000</v>
          </cell>
          <cell r="K534">
            <v>8300000.0000000009</v>
          </cell>
          <cell r="L534">
            <v>5000000</v>
          </cell>
          <cell r="M534">
            <v>6071950</v>
          </cell>
          <cell r="N534">
            <v>2202800</v>
          </cell>
          <cell r="O534">
            <v>6550000</v>
          </cell>
          <cell r="P534">
            <v>85156500</v>
          </cell>
          <cell r="Q534" t="str">
            <v>T</v>
          </cell>
          <cell r="R534">
            <v>0</v>
          </cell>
          <cell r="S534">
            <v>0</v>
          </cell>
        </row>
        <row r="535"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 t="str">
            <v>-</v>
          </cell>
          <cell r="S535">
            <v>0</v>
          </cell>
        </row>
        <row r="536">
          <cell r="C536" t="str">
            <v>ATM and Giga Ethernet switches (-&gt;2010/02)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 t="str">
            <v>T</v>
          </cell>
          <cell r="S536">
            <v>0</v>
          </cell>
        </row>
        <row r="537"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 t="str">
            <v>-</v>
          </cell>
          <cell r="S537">
            <v>0</v>
          </cell>
        </row>
        <row r="538"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 t="str">
            <v>-</v>
          </cell>
          <cell r="S538">
            <v>0</v>
          </cell>
        </row>
        <row r="539"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 t="str">
            <v>-</v>
          </cell>
          <cell r="S539">
            <v>0</v>
          </cell>
        </row>
        <row r="540"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 t="str">
            <v>-</v>
          </cell>
          <cell r="S540">
            <v>0</v>
          </cell>
        </row>
        <row r="541"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 t="str">
            <v>-</v>
          </cell>
          <cell r="S541">
            <v>0</v>
          </cell>
        </row>
        <row r="542"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 t="str">
            <v>-</v>
          </cell>
          <cell r="S542">
            <v>0</v>
          </cell>
        </row>
        <row r="543"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 t="str">
            <v>-</v>
          </cell>
          <cell r="S543">
            <v>0</v>
          </cell>
        </row>
        <row r="544"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 t="str">
            <v>-</v>
          </cell>
          <cell r="S544">
            <v>0</v>
          </cell>
        </row>
        <row r="545">
          <cell r="C545" t="str">
            <v>ATM equipments &amp; releases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 t="str">
            <v>T</v>
          </cell>
          <cell r="S545">
            <v>0</v>
          </cell>
        </row>
        <row r="546"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 t="str">
            <v>-</v>
          </cell>
          <cell r="S546">
            <v>0</v>
          </cell>
        </row>
        <row r="547"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 t="str">
            <v>-</v>
          </cell>
          <cell r="S547">
            <v>0</v>
          </cell>
        </row>
        <row r="548"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 t="str">
            <v>-</v>
          </cell>
          <cell r="S548">
            <v>0</v>
          </cell>
        </row>
        <row r="549"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 t="str">
            <v>-</v>
          </cell>
          <cell r="S549">
            <v>0</v>
          </cell>
        </row>
        <row r="550"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 t="str">
            <v>-</v>
          </cell>
          <cell r="S550">
            <v>0</v>
          </cell>
        </row>
        <row r="551"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 t="str">
            <v>-</v>
          </cell>
          <cell r="S551">
            <v>0</v>
          </cell>
        </row>
        <row r="552"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 t="str">
            <v>-</v>
          </cell>
          <cell r="S552">
            <v>0</v>
          </cell>
        </row>
        <row r="553"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 t="str">
            <v>-</v>
          </cell>
          <cell r="S553">
            <v>0</v>
          </cell>
        </row>
        <row r="554">
          <cell r="C554" t="str">
            <v>Ethernet carrier switches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 t="str">
            <v>T</v>
          </cell>
          <cell r="S554">
            <v>0</v>
          </cell>
        </row>
        <row r="555"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 t="str">
            <v>-</v>
          </cell>
          <cell r="S555">
            <v>0</v>
          </cell>
        </row>
        <row r="556"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 t="str">
            <v>-</v>
          </cell>
          <cell r="S556">
            <v>0</v>
          </cell>
        </row>
        <row r="557"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 t="str">
            <v>-</v>
          </cell>
          <cell r="S557">
            <v>0</v>
          </cell>
        </row>
        <row r="558"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 t="str">
            <v>-</v>
          </cell>
          <cell r="S558">
            <v>0</v>
          </cell>
        </row>
        <row r="559"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 t="str">
            <v>-</v>
          </cell>
          <cell r="S559">
            <v>0</v>
          </cell>
        </row>
        <row r="560"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 t="str">
            <v>-</v>
          </cell>
          <cell r="S560">
            <v>0</v>
          </cell>
        </row>
        <row r="561"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 t="str">
            <v>-</v>
          </cell>
          <cell r="S561">
            <v>0</v>
          </cell>
        </row>
        <row r="562"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 t="str">
            <v>-</v>
          </cell>
          <cell r="S562">
            <v>0</v>
          </cell>
        </row>
        <row r="563">
          <cell r="C563" t="str">
            <v>LL, RTNM, SMHD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 t="str">
            <v>T</v>
          </cell>
          <cell r="S563">
            <v>0</v>
          </cell>
        </row>
        <row r="564"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 t="str">
            <v>-</v>
          </cell>
          <cell r="S564">
            <v>0</v>
          </cell>
        </row>
        <row r="565"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 t="str">
            <v>-</v>
          </cell>
          <cell r="S565">
            <v>0</v>
          </cell>
        </row>
        <row r="566"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 t="str">
            <v>-</v>
          </cell>
          <cell r="S566">
            <v>0</v>
          </cell>
        </row>
        <row r="567"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 t="str">
            <v>-</v>
          </cell>
          <cell r="S567">
            <v>0</v>
          </cell>
        </row>
        <row r="568"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 t="str">
            <v>-</v>
          </cell>
          <cell r="S568">
            <v>0</v>
          </cell>
        </row>
        <row r="569"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 t="str">
            <v>-</v>
          </cell>
          <cell r="S569">
            <v>0</v>
          </cell>
        </row>
        <row r="570"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 t="str">
            <v>-</v>
          </cell>
          <cell r="S570">
            <v>0</v>
          </cell>
        </row>
        <row r="571"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 t="str">
            <v>-</v>
          </cell>
          <cell r="S571">
            <v>0</v>
          </cell>
        </row>
        <row r="572">
          <cell r="C572" t="str">
            <v>Other Transport Network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 t="str">
            <v>T</v>
          </cell>
          <cell r="R572">
            <v>0</v>
          </cell>
          <cell r="S572">
            <v>0</v>
          </cell>
        </row>
        <row r="573"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 t="str">
            <v>-</v>
          </cell>
          <cell r="S573">
            <v>0</v>
          </cell>
        </row>
        <row r="574">
          <cell r="C574" t="str">
            <v>Total Transport Network</v>
          </cell>
          <cell r="D574">
            <v>4000000</v>
          </cell>
          <cell r="E574">
            <v>6899050</v>
          </cell>
          <cell r="F574">
            <v>2750000</v>
          </cell>
          <cell r="G574">
            <v>5554200</v>
          </cell>
          <cell r="H574">
            <v>9400000</v>
          </cell>
          <cell r="I574">
            <v>10378500</v>
          </cell>
          <cell r="J574">
            <v>18050000</v>
          </cell>
          <cell r="K574">
            <v>8300000.0000000009</v>
          </cell>
          <cell r="L574">
            <v>5000000</v>
          </cell>
          <cell r="M574">
            <v>6071950</v>
          </cell>
          <cell r="N574">
            <v>2202800</v>
          </cell>
          <cell r="O574">
            <v>6550000</v>
          </cell>
          <cell r="P574">
            <v>85156500</v>
          </cell>
          <cell r="Q574" t="str">
            <v>T</v>
          </cell>
          <cell r="S574">
            <v>0</v>
          </cell>
        </row>
        <row r="575"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 t="str">
            <v>-</v>
          </cell>
          <cell r="S575">
            <v>0</v>
          </cell>
        </row>
        <row r="576">
          <cell r="C576" t="str">
            <v>Indefeasible right of use (IRU)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 t="str">
            <v>T</v>
          </cell>
          <cell r="S576">
            <v>0</v>
          </cell>
        </row>
        <row r="577"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 t="str">
            <v>-</v>
          </cell>
          <cell r="S577">
            <v>0</v>
          </cell>
        </row>
        <row r="578"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 t="str">
            <v>-</v>
          </cell>
          <cell r="S578">
            <v>0</v>
          </cell>
        </row>
        <row r="579"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 t="str">
            <v>-</v>
          </cell>
          <cell r="S579">
            <v>0</v>
          </cell>
        </row>
        <row r="580"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 t="str">
            <v>-</v>
          </cell>
          <cell r="S580">
            <v>0</v>
          </cell>
        </row>
        <row r="581"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 t="str">
            <v>-</v>
          </cell>
          <cell r="S581">
            <v>0</v>
          </cell>
        </row>
        <row r="582"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 t="str">
            <v>-</v>
          </cell>
          <cell r="S582">
            <v>0</v>
          </cell>
        </row>
        <row r="583"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 t="str">
            <v>-</v>
          </cell>
          <cell r="S583">
            <v>0</v>
          </cell>
        </row>
        <row r="584">
          <cell r="C584" t="str">
            <v>Terrestrian transmission cables - Copper, optical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 t="str">
            <v>T</v>
          </cell>
          <cell r="S584">
            <v>0</v>
          </cell>
        </row>
        <row r="585"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 t="str">
            <v>-</v>
          </cell>
          <cell r="S585">
            <v>0</v>
          </cell>
        </row>
        <row r="586"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 t="str">
            <v>-</v>
          </cell>
          <cell r="S586">
            <v>0</v>
          </cell>
        </row>
        <row r="587"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 t="str">
            <v>-</v>
          </cell>
          <cell r="S587">
            <v>0</v>
          </cell>
        </row>
        <row r="588"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 t="str">
            <v>-</v>
          </cell>
          <cell r="S588">
            <v>0</v>
          </cell>
        </row>
        <row r="589"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 t="str">
            <v>-</v>
          </cell>
          <cell r="S589">
            <v>0</v>
          </cell>
        </row>
        <row r="590"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 t="str">
            <v>-</v>
          </cell>
          <cell r="S590">
            <v>0</v>
          </cell>
        </row>
        <row r="591"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 t="str">
            <v>-</v>
          </cell>
          <cell r="S591">
            <v>0</v>
          </cell>
        </row>
        <row r="592">
          <cell r="C592" t="str">
            <v>Sub-Marine cables (incl. IRU) - Copper, optical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 t="str">
            <v>T</v>
          </cell>
          <cell r="S592">
            <v>0</v>
          </cell>
        </row>
        <row r="593">
          <cell r="C593" t="str">
            <v>IRU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 t="str">
            <v>-</v>
          </cell>
          <cell r="S593">
            <v>0</v>
          </cell>
        </row>
        <row r="594"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 t="str">
            <v>-</v>
          </cell>
          <cell r="S594">
            <v>0</v>
          </cell>
        </row>
        <row r="595"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 t="str">
            <v>-</v>
          </cell>
          <cell r="S595">
            <v>0</v>
          </cell>
        </row>
        <row r="596"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 t="str">
            <v>-</v>
          </cell>
          <cell r="S596">
            <v>0</v>
          </cell>
        </row>
        <row r="597"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 t="str">
            <v>-</v>
          </cell>
          <cell r="S597">
            <v>0</v>
          </cell>
        </row>
        <row r="598"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 t="str">
            <v>-</v>
          </cell>
          <cell r="S598">
            <v>0</v>
          </cell>
        </row>
        <row r="599"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 t="str">
            <v>-</v>
          </cell>
          <cell r="S599">
            <v>0</v>
          </cell>
        </row>
        <row r="600"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 t="str">
            <v>-</v>
          </cell>
          <cell r="S600">
            <v>0</v>
          </cell>
        </row>
        <row r="601">
          <cell r="C601" t="str">
            <v>Transmission Cables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 t="str">
            <v>T</v>
          </cell>
          <cell r="R601">
            <v>0</v>
          </cell>
          <cell r="S601">
            <v>0</v>
          </cell>
        </row>
        <row r="602"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 t="str">
            <v>-</v>
          </cell>
          <cell r="S602">
            <v>0</v>
          </cell>
        </row>
        <row r="603">
          <cell r="C603" t="str">
            <v>Microwave equipments &amp; infrastructure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 t="str">
            <v>T</v>
          </cell>
          <cell r="S603">
            <v>0</v>
          </cell>
        </row>
        <row r="604">
          <cell r="C604" t="str">
            <v>Transmission for CN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 t="str">
            <v>-</v>
          </cell>
          <cell r="S604">
            <v>0</v>
          </cell>
        </row>
        <row r="605">
          <cell r="C605" t="str">
            <v>Backbone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 t="str">
            <v>-</v>
          </cell>
          <cell r="S605">
            <v>0</v>
          </cell>
        </row>
        <row r="606">
          <cell r="C606" t="str">
            <v>Commitment (Transmission)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 t="str">
            <v>-</v>
          </cell>
          <cell r="S606">
            <v>0</v>
          </cell>
        </row>
        <row r="607">
          <cell r="C607" t="str">
            <v>LDN Microwave Forcast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 t="str">
            <v>-</v>
          </cell>
          <cell r="S607">
            <v>0</v>
          </cell>
        </row>
        <row r="608"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 t="str">
            <v>-</v>
          </cell>
          <cell r="S608">
            <v>0</v>
          </cell>
        </row>
        <row r="609"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 t="str">
            <v>-</v>
          </cell>
          <cell r="S609">
            <v>0</v>
          </cell>
        </row>
        <row r="610"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 t="str">
            <v>-</v>
          </cell>
          <cell r="S610">
            <v>0</v>
          </cell>
        </row>
        <row r="611"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 t="str">
            <v>-</v>
          </cell>
          <cell r="S611">
            <v>0</v>
          </cell>
        </row>
        <row r="612">
          <cell r="C612" t="str">
            <v>PDH &amp; SDH equipments &amp; releases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 t="str">
            <v>T</v>
          </cell>
          <cell r="S612">
            <v>0</v>
          </cell>
        </row>
        <row r="613">
          <cell r="C613" t="str">
            <v>SDH Nodes / DXX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 t="str">
            <v>-</v>
          </cell>
          <cell r="S613">
            <v>0</v>
          </cell>
        </row>
        <row r="614">
          <cell r="C614" t="str">
            <v>PDH MW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 t="str">
            <v>-</v>
          </cell>
          <cell r="S614">
            <v>0</v>
          </cell>
        </row>
        <row r="615"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 t="str">
            <v>-</v>
          </cell>
          <cell r="S615">
            <v>0</v>
          </cell>
        </row>
        <row r="616"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 t="str">
            <v>-</v>
          </cell>
          <cell r="S616">
            <v>0</v>
          </cell>
        </row>
        <row r="617"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 t="str">
            <v>-</v>
          </cell>
          <cell r="S617">
            <v>0</v>
          </cell>
        </row>
        <row r="618"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 t="str">
            <v>-</v>
          </cell>
          <cell r="S618">
            <v>0</v>
          </cell>
        </row>
        <row r="619"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 t="str">
            <v>-</v>
          </cell>
          <cell r="S619">
            <v>0</v>
          </cell>
        </row>
        <row r="620"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 t="str">
            <v>-</v>
          </cell>
          <cell r="S620">
            <v>0</v>
          </cell>
        </row>
        <row r="621">
          <cell r="C621" t="str">
            <v>WDM &amp; OXC equipments &amp; releases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 t="str">
            <v>T</v>
          </cell>
          <cell r="S621">
            <v>0</v>
          </cell>
        </row>
        <row r="622"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 t="str">
            <v>-</v>
          </cell>
          <cell r="S622">
            <v>0</v>
          </cell>
        </row>
        <row r="623"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 t="str">
            <v>-</v>
          </cell>
          <cell r="S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 t="str">
            <v>-</v>
          </cell>
          <cell r="S624">
            <v>0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 t="str">
            <v>-</v>
          </cell>
          <cell r="S625">
            <v>0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 t="str">
            <v>-</v>
          </cell>
          <cell r="S626">
            <v>0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 t="str">
            <v>-</v>
          </cell>
          <cell r="S627">
            <v>0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 t="str">
            <v>-</v>
          </cell>
          <cell r="S628">
            <v>0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 t="str">
            <v>-</v>
          </cell>
          <cell r="S629">
            <v>0</v>
          </cell>
        </row>
        <row r="630">
          <cell r="C630" t="str">
            <v>Satellite transmission - Equipments &amp; peripherals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 t="str">
            <v>T</v>
          </cell>
          <cell r="S630">
            <v>0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 t="str">
            <v>-</v>
          </cell>
          <cell r="S631">
            <v>0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 t="str">
            <v>-</v>
          </cell>
          <cell r="S632">
            <v>0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 t="str">
            <v>-</v>
          </cell>
          <cell r="S633">
            <v>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 t="str">
            <v>-</v>
          </cell>
          <cell r="S634">
            <v>0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 t="str">
            <v>-</v>
          </cell>
          <cell r="S635">
            <v>0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 t="str">
            <v>-</v>
          </cell>
          <cell r="S636">
            <v>0</v>
          </cell>
        </row>
        <row r="637"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 t="str">
            <v>-</v>
          </cell>
          <cell r="S637">
            <v>0</v>
          </cell>
        </row>
        <row r="638"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 t="str">
            <v>-</v>
          </cell>
          <cell r="S638">
            <v>0</v>
          </cell>
        </row>
        <row r="639">
          <cell r="C639" t="str">
            <v>Domestic transmission equipments (-&gt;2010/02)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 t="str">
            <v>T</v>
          </cell>
          <cell r="S639">
            <v>0</v>
          </cell>
        </row>
        <row r="640"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 t="str">
            <v>-</v>
          </cell>
          <cell r="S640">
            <v>0</v>
          </cell>
        </row>
        <row r="641"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 t="str">
            <v>-</v>
          </cell>
          <cell r="S641">
            <v>0</v>
          </cell>
        </row>
        <row r="642"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 t="str">
            <v>-</v>
          </cell>
          <cell r="S642">
            <v>0</v>
          </cell>
        </row>
        <row r="643"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 t="str">
            <v>-</v>
          </cell>
          <cell r="S643">
            <v>0</v>
          </cell>
        </row>
        <row r="644"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 t="str">
            <v>-</v>
          </cell>
          <cell r="S644">
            <v>0</v>
          </cell>
        </row>
        <row r="645"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 t="str">
            <v>-</v>
          </cell>
          <cell r="S645">
            <v>0</v>
          </cell>
        </row>
        <row r="646"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 t="str">
            <v>-</v>
          </cell>
          <cell r="S646">
            <v>0</v>
          </cell>
        </row>
        <row r="647"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 t="str">
            <v>-</v>
          </cell>
          <cell r="S647">
            <v>0</v>
          </cell>
        </row>
        <row r="648">
          <cell r="C648" t="str">
            <v>Other Data networks dedicated equipments (-&gt;2010/02)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 t="str">
            <v>T</v>
          </cell>
          <cell r="S648">
            <v>0</v>
          </cell>
        </row>
        <row r="649"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 t="str">
            <v>-</v>
          </cell>
          <cell r="S649">
            <v>0</v>
          </cell>
        </row>
        <row r="650"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 t="str">
            <v>-</v>
          </cell>
          <cell r="S650">
            <v>0</v>
          </cell>
        </row>
        <row r="651"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 t="str">
            <v>-</v>
          </cell>
          <cell r="S651">
            <v>0</v>
          </cell>
        </row>
        <row r="652"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 t="str">
            <v>-</v>
          </cell>
          <cell r="S652">
            <v>0</v>
          </cell>
        </row>
        <row r="653"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 t="str">
            <v>-</v>
          </cell>
          <cell r="S653">
            <v>0</v>
          </cell>
        </row>
        <row r="654"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 t="str">
            <v>-</v>
          </cell>
          <cell r="S654">
            <v>0</v>
          </cell>
        </row>
        <row r="655"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 t="str">
            <v>-</v>
          </cell>
          <cell r="S655">
            <v>0</v>
          </cell>
        </row>
        <row r="656"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 t="str">
            <v>-</v>
          </cell>
          <cell r="S656">
            <v>0</v>
          </cell>
        </row>
        <row r="657">
          <cell r="C657" t="str">
            <v>Domestic&amp;Internat Backbone Transmission Equipment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 t="str">
            <v>T</v>
          </cell>
          <cell r="R657">
            <v>0</v>
          </cell>
          <cell r="S657">
            <v>0</v>
          </cell>
        </row>
        <row r="658"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 t="str">
            <v>-</v>
          </cell>
          <cell r="S658">
            <v>0</v>
          </cell>
        </row>
        <row r="659">
          <cell r="C659" t="str">
            <v>Total Transmission Netork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 t="str">
            <v>T</v>
          </cell>
          <cell r="S659">
            <v>0</v>
          </cell>
        </row>
        <row r="660"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 t="str">
            <v>-</v>
          </cell>
          <cell r="S660">
            <v>0</v>
          </cell>
        </row>
        <row r="661">
          <cell r="C661" t="str">
            <v>Network excl Telecommunication licences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 t="str">
            <v>T</v>
          </cell>
          <cell r="R661">
            <v>0</v>
          </cell>
          <cell r="S661">
            <v>0</v>
          </cell>
        </row>
        <row r="662"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 t="str">
            <v>-</v>
          </cell>
          <cell r="S662">
            <v>0</v>
          </cell>
        </row>
        <row r="663"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 t="str">
            <v>-</v>
          </cell>
          <cell r="S663">
            <v>0</v>
          </cell>
        </row>
        <row r="664"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 t="str">
            <v>-</v>
          </cell>
          <cell r="S664">
            <v>0</v>
          </cell>
        </row>
        <row r="665"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 t="str">
            <v>-</v>
          </cell>
          <cell r="S665">
            <v>0</v>
          </cell>
        </row>
        <row r="666"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 t="str">
            <v>-</v>
          </cell>
          <cell r="S666">
            <v>0</v>
          </cell>
        </row>
        <row r="667"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 t="str">
            <v>-</v>
          </cell>
          <cell r="S667">
            <v>0</v>
          </cell>
        </row>
        <row r="668">
          <cell r="C668" t="str">
            <v>SPF: Services &amp; Authentification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 t="str">
            <v>T</v>
          </cell>
          <cell r="R668">
            <v>0</v>
          </cell>
          <cell r="S668">
            <v>0</v>
          </cell>
        </row>
        <row r="669">
          <cell r="C669" t="str">
            <v>ADM &amp; OTA consolidation Virtualization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 t="str">
            <v>-</v>
          </cell>
          <cell r="S669">
            <v>0</v>
          </cell>
        </row>
        <row r="670">
          <cell r="C670" t="str">
            <v>USSD and SDP Consolidation/Swap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 t="str">
            <v>-</v>
          </cell>
          <cell r="S670">
            <v>0</v>
          </cell>
        </row>
        <row r="671">
          <cell r="C671" t="str">
            <v>Call blocker swap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 t="str">
            <v>-</v>
          </cell>
          <cell r="S671">
            <v>0</v>
          </cell>
        </row>
        <row r="672">
          <cell r="C672" t="str">
            <v>Business SMS Tool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 t="str">
            <v>-</v>
          </cell>
          <cell r="S672">
            <v>0</v>
          </cell>
        </row>
        <row r="673">
          <cell r="C673" t="str">
            <v>Payment GW consolidation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 t="str">
            <v>-</v>
          </cell>
          <cell r="S673">
            <v>0</v>
          </cell>
        </row>
        <row r="674">
          <cell r="C674" t="str">
            <v>BCS &amp; ECE Swap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 t="str">
            <v>-</v>
          </cell>
          <cell r="S674">
            <v>0</v>
          </cell>
        </row>
        <row r="675">
          <cell r="C675" t="str">
            <v>Evolutive Software License 2020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 t="str">
            <v>-</v>
          </cell>
          <cell r="S675">
            <v>0</v>
          </cell>
        </row>
        <row r="676">
          <cell r="C676" t="str">
            <v>Emergency Evolution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 t="str">
            <v>-</v>
          </cell>
          <cell r="S676">
            <v>0</v>
          </cell>
        </row>
        <row r="677">
          <cell r="C677" t="str">
            <v>New Payment GW PH2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 t="str">
            <v>-</v>
          </cell>
          <cell r="S677">
            <v>0</v>
          </cell>
        </row>
        <row r="678"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 t="str">
            <v>-</v>
          </cell>
          <cell r="S678">
            <v>0</v>
          </cell>
        </row>
        <row r="679"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 t="str">
            <v>-</v>
          </cell>
          <cell r="S679">
            <v>0</v>
          </cell>
        </row>
        <row r="680"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 t="str">
            <v>-</v>
          </cell>
          <cell r="S680">
            <v>0</v>
          </cell>
        </row>
        <row r="681"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 t="str">
            <v>-</v>
          </cell>
          <cell r="S681">
            <v>0</v>
          </cell>
        </row>
        <row r="682"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 t="str">
            <v>-</v>
          </cell>
          <cell r="S682">
            <v>0</v>
          </cell>
        </row>
        <row r="683"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 t="str">
            <v>-</v>
          </cell>
          <cell r="S683">
            <v>0</v>
          </cell>
        </row>
        <row r="684"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 t="str">
            <v>-</v>
          </cell>
          <cell r="S684">
            <v>0</v>
          </cell>
        </row>
        <row r="685"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 t="str">
            <v>-</v>
          </cell>
          <cell r="S685">
            <v>0</v>
          </cell>
        </row>
        <row r="686"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 t="str">
            <v>-</v>
          </cell>
          <cell r="S686">
            <v>0</v>
          </cell>
        </row>
        <row r="687"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 t="str">
            <v>-</v>
          </cell>
          <cell r="S687">
            <v>0</v>
          </cell>
        </row>
        <row r="688"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 t="str">
            <v>-</v>
          </cell>
          <cell r="S688">
            <v>0</v>
          </cell>
        </row>
        <row r="689"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 t="str">
            <v>-</v>
          </cell>
          <cell r="S689">
            <v>0</v>
          </cell>
        </row>
        <row r="690"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 t="str">
            <v>-</v>
          </cell>
          <cell r="S690">
            <v>0</v>
          </cell>
        </row>
        <row r="691"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 t="str">
            <v>-</v>
          </cell>
          <cell r="S691">
            <v>0</v>
          </cell>
        </row>
        <row r="692"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 t="str">
            <v>-</v>
          </cell>
          <cell r="S692">
            <v>0</v>
          </cell>
        </row>
        <row r="693"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 t="str">
            <v>-</v>
          </cell>
          <cell r="S693">
            <v>0</v>
          </cell>
        </row>
        <row r="694"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 t="str">
            <v>-</v>
          </cell>
          <cell r="S694">
            <v>0</v>
          </cell>
        </row>
        <row r="695"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 t="str">
            <v>-</v>
          </cell>
          <cell r="S695">
            <v>0</v>
          </cell>
        </row>
        <row r="696"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 t="str">
            <v>-</v>
          </cell>
          <cell r="S696">
            <v>0</v>
          </cell>
        </row>
        <row r="697"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 t="str">
            <v>-</v>
          </cell>
          <cell r="S697">
            <v>0</v>
          </cell>
        </row>
        <row r="698"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 t="str">
            <v>-</v>
          </cell>
          <cell r="S698">
            <v>0</v>
          </cell>
        </row>
        <row r="699"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 t="str">
            <v>-</v>
          </cell>
          <cell r="S699">
            <v>0</v>
          </cell>
        </row>
        <row r="700"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 t="str">
            <v>-</v>
          </cell>
          <cell r="S700">
            <v>0</v>
          </cell>
        </row>
        <row r="701"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 t="str">
            <v>-</v>
          </cell>
          <cell r="S701">
            <v>0</v>
          </cell>
        </row>
        <row r="702"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 t="str">
            <v>-</v>
          </cell>
          <cell r="S702">
            <v>0</v>
          </cell>
        </row>
        <row r="703"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 t="str">
            <v>-</v>
          </cell>
          <cell r="S703">
            <v>0</v>
          </cell>
        </row>
        <row r="704"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 t="str">
            <v>-</v>
          </cell>
          <cell r="S704">
            <v>0</v>
          </cell>
        </row>
        <row r="705"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 t="str">
            <v>-</v>
          </cell>
          <cell r="S705">
            <v>0</v>
          </cell>
        </row>
        <row r="706"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 t="str">
            <v>-</v>
          </cell>
          <cell r="S706">
            <v>0</v>
          </cell>
        </row>
        <row r="707"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 t="str">
            <v>-</v>
          </cell>
          <cell r="S707">
            <v>0</v>
          </cell>
        </row>
        <row r="708"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 t="str">
            <v>-</v>
          </cell>
          <cell r="S708">
            <v>0</v>
          </cell>
        </row>
        <row r="709">
          <cell r="C709" t="str">
            <v>SPF: Services for mass market and business customers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 t="str">
            <v>T</v>
          </cell>
          <cell r="R709">
            <v>0</v>
          </cell>
          <cell r="S709">
            <v>0</v>
          </cell>
        </row>
        <row r="710">
          <cell r="C710" t="str">
            <v>VAS Services Development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 t="str">
            <v>-</v>
          </cell>
          <cell r="S710">
            <v>0</v>
          </cell>
        </row>
        <row r="711">
          <cell r="C711" t="str">
            <v>Services Intergartion &amp; Testing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 t="str">
            <v>-</v>
          </cell>
          <cell r="S711">
            <v>0</v>
          </cell>
        </row>
        <row r="712">
          <cell r="C712" t="str">
            <v xml:space="preserve">Get Rid of BSCS database replicas 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 t="str">
            <v>-</v>
          </cell>
          <cell r="S712">
            <v>0</v>
          </cell>
        </row>
        <row r="713"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 t="str">
            <v>-</v>
          </cell>
          <cell r="S713">
            <v>0</v>
          </cell>
        </row>
        <row r="714"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 t="str">
            <v>-</v>
          </cell>
          <cell r="S714">
            <v>0</v>
          </cell>
        </row>
        <row r="715"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 t="str">
            <v>-</v>
          </cell>
          <cell r="S715">
            <v>0</v>
          </cell>
        </row>
        <row r="716"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 t="str">
            <v>-</v>
          </cell>
          <cell r="S716">
            <v>0</v>
          </cell>
        </row>
        <row r="717"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 t="str">
            <v>-</v>
          </cell>
          <cell r="S717">
            <v>0</v>
          </cell>
        </row>
        <row r="718"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 t="str">
            <v>-</v>
          </cell>
          <cell r="S718">
            <v>0</v>
          </cell>
        </row>
        <row r="719"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 t="str">
            <v>-</v>
          </cell>
          <cell r="S719">
            <v>0</v>
          </cell>
        </row>
        <row r="720"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 t="str">
            <v>-</v>
          </cell>
          <cell r="S720">
            <v>0</v>
          </cell>
        </row>
        <row r="721"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 t="str">
            <v>-</v>
          </cell>
          <cell r="S721">
            <v>0</v>
          </cell>
        </row>
        <row r="722"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 t="str">
            <v>-</v>
          </cell>
          <cell r="S722">
            <v>0</v>
          </cell>
        </row>
        <row r="723"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 t="str">
            <v>-</v>
          </cell>
          <cell r="S723">
            <v>0</v>
          </cell>
        </row>
        <row r="724"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 t="str">
            <v>-</v>
          </cell>
          <cell r="S724">
            <v>0</v>
          </cell>
        </row>
        <row r="725"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 t="str">
            <v>-</v>
          </cell>
          <cell r="S725">
            <v>0</v>
          </cell>
        </row>
        <row r="726">
          <cell r="C726" t="str">
            <v>SPF: IT Services and SPF for Enterprise Customer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 t="str">
            <v>T</v>
          </cell>
          <cell r="R726">
            <v>0</v>
          </cell>
          <cell r="S726">
            <v>0</v>
          </cell>
        </row>
        <row r="727">
          <cell r="C727" t="str">
            <v>M2M SIM Managament System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 t="str">
            <v>-</v>
          </cell>
          <cell r="S727">
            <v>0</v>
          </cell>
        </row>
        <row r="728"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 t="str">
            <v>-</v>
          </cell>
          <cell r="S728">
            <v>0</v>
          </cell>
        </row>
        <row r="729"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 t="str">
            <v>-</v>
          </cell>
          <cell r="S729">
            <v>0</v>
          </cell>
        </row>
        <row r="730"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 t="str">
            <v>-</v>
          </cell>
          <cell r="S730">
            <v>0</v>
          </cell>
        </row>
        <row r="731"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 t="str">
            <v>-</v>
          </cell>
          <cell r="S731">
            <v>0</v>
          </cell>
        </row>
        <row r="732"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 t="str">
            <v>-</v>
          </cell>
          <cell r="S732">
            <v>0</v>
          </cell>
        </row>
        <row r="733"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 t="str">
            <v>-</v>
          </cell>
          <cell r="S733">
            <v>0</v>
          </cell>
        </row>
        <row r="734"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 t="str">
            <v>-</v>
          </cell>
          <cell r="S734">
            <v>0</v>
          </cell>
        </row>
        <row r="735"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 t="str">
            <v>-</v>
          </cell>
          <cell r="S735">
            <v>0</v>
          </cell>
        </row>
        <row r="736"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 t="str">
            <v>-</v>
          </cell>
          <cell r="S736">
            <v>0</v>
          </cell>
        </row>
        <row r="737"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 t="str">
            <v>-</v>
          </cell>
          <cell r="S737">
            <v>0</v>
          </cell>
        </row>
        <row r="738"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 t="str">
            <v>-</v>
          </cell>
          <cell r="S738">
            <v>0</v>
          </cell>
        </row>
        <row r="739"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 t="str">
            <v>-</v>
          </cell>
          <cell r="S739">
            <v>0</v>
          </cell>
        </row>
        <row r="740"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 t="str">
            <v>-</v>
          </cell>
          <cell r="S740">
            <v>0</v>
          </cell>
        </row>
        <row r="741"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 t="str">
            <v>T</v>
          </cell>
          <cell r="R741">
            <v>0</v>
          </cell>
          <cell r="S741" t="str">
            <v>q</v>
          </cell>
        </row>
        <row r="742"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 t="str">
            <v>-</v>
          </cell>
          <cell r="S742">
            <v>0</v>
          </cell>
        </row>
        <row r="743"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 t="str">
            <v>-</v>
          </cell>
          <cell r="S743">
            <v>0</v>
          </cell>
        </row>
        <row r="744"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 t="str">
            <v>-</v>
          </cell>
          <cell r="S744">
            <v>0</v>
          </cell>
        </row>
        <row r="745">
          <cell r="C745" t="str">
            <v xml:space="preserve">Open services platforms and applications 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 t="str">
            <v>T</v>
          </cell>
          <cell r="R745">
            <v>0</v>
          </cell>
          <cell r="S745">
            <v>0</v>
          </cell>
        </row>
        <row r="746"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 t="str">
            <v>-</v>
          </cell>
          <cell r="S746">
            <v>0</v>
          </cell>
        </row>
        <row r="747"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 t="str">
            <v>-</v>
          </cell>
          <cell r="S747">
            <v>0</v>
          </cell>
        </row>
        <row r="748"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 t="str">
            <v>-</v>
          </cell>
          <cell r="S748">
            <v>0</v>
          </cell>
        </row>
        <row r="749">
          <cell r="C749" t="str">
            <v>Capitalised Customer's services platform (IT&amp;N2)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 t="str">
            <v>T</v>
          </cell>
          <cell r="R749">
            <v>0</v>
          </cell>
          <cell r="S749">
            <v>0</v>
          </cell>
        </row>
        <row r="750"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 t="str">
            <v>-</v>
          </cell>
          <cell r="S750">
            <v>0</v>
          </cell>
        </row>
        <row r="751">
          <cell r="C751" t="str">
            <v>Customer's services platform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 t="str">
            <v>T</v>
          </cell>
          <cell r="S751">
            <v>0</v>
          </cell>
        </row>
        <row r="752"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 t="str">
            <v>-</v>
          </cell>
          <cell r="S752">
            <v>0</v>
          </cell>
        </row>
        <row r="753">
          <cell r="C753" t="str">
            <v>IT: Applications and software package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 t="str">
            <v>T</v>
          </cell>
          <cell r="R753">
            <v>0</v>
          </cell>
          <cell r="S753">
            <v>0</v>
          </cell>
        </row>
        <row r="754">
          <cell r="C754" t="str">
            <v>Chat Bot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 t="str">
            <v>-</v>
          </cell>
          <cell r="S754">
            <v>0</v>
          </cell>
        </row>
        <row r="755">
          <cell r="C755" t="str">
            <v>Digital Services Development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 t="str">
            <v>-</v>
          </cell>
          <cell r="S755">
            <v>0</v>
          </cell>
        </row>
        <row r="756">
          <cell r="C756" t="str">
            <v xml:space="preserve">Data Stage Upgrade 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 t="str">
            <v>-</v>
          </cell>
          <cell r="S756">
            <v>0</v>
          </cell>
        </row>
        <row r="757">
          <cell r="C757" t="str">
            <v>Big Data Services Development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 t="str">
            <v>-</v>
          </cell>
          <cell r="S757">
            <v>0</v>
          </cell>
        </row>
        <row r="758">
          <cell r="C758" t="str">
            <v>Data Lake Phase I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 t="str">
            <v>-</v>
          </cell>
          <cell r="S758">
            <v>0</v>
          </cell>
        </row>
        <row r="759">
          <cell r="C759" t="str">
            <v>IT Services Development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 t="str">
            <v>-</v>
          </cell>
          <cell r="S759">
            <v>0</v>
          </cell>
        </row>
        <row r="760">
          <cell r="C760" t="str">
            <v xml:space="preserve">Retail Experience Boosting 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 t="str">
            <v>-</v>
          </cell>
          <cell r="S760">
            <v>0</v>
          </cell>
        </row>
        <row r="761">
          <cell r="C761" t="str">
            <v>Genesys Transformation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 t="str">
            <v>-</v>
          </cell>
          <cell r="S761">
            <v>0</v>
          </cell>
        </row>
        <row r="762">
          <cell r="C762" t="str">
            <v>Siebel Evolution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 t="str">
            <v>-</v>
          </cell>
          <cell r="S762">
            <v>0</v>
          </cell>
        </row>
        <row r="763">
          <cell r="C763" t="str">
            <v>Intersec IRIS CBM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 t="str">
            <v>-</v>
          </cell>
          <cell r="S763">
            <v>0</v>
          </cell>
        </row>
        <row r="764">
          <cell r="C764" t="str">
            <v>Contact Strategy System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 t="str">
            <v>-</v>
          </cell>
          <cell r="S764">
            <v>0</v>
          </cell>
        </row>
        <row r="765">
          <cell r="C765" t="str">
            <v xml:space="preserve">Fraud &amp; Revenue Assurane Release Upgrade 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 t="str">
            <v>-</v>
          </cell>
          <cell r="S765">
            <v>0</v>
          </cell>
        </row>
        <row r="766">
          <cell r="C766" t="str">
            <v xml:space="preserve">Middleware Evolution 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</row>
        <row r="767">
          <cell r="C767" t="str">
            <v xml:space="preserve">Mediation Consolidation 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</row>
        <row r="768">
          <cell r="C768" t="str">
            <v>ERP Evolution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S768">
            <v>0</v>
          </cell>
        </row>
        <row r="769">
          <cell r="C769" t="str">
            <v>Corporate Automation Enhancement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S769">
            <v>0</v>
          </cell>
        </row>
        <row r="770">
          <cell r="C770" t="str">
            <v>Risk Management Calendar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S770">
            <v>0</v>
          </cell>
        </row>
        <row r="771">
          <cell r="C771" t="str">
            <v>Trouble Ticketing System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S771">
            <v>0</v>
          </cell>
        </row>
        <row r="772">
          <cell r="C772" t="str">
            <v>USSD Evolution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</row>
        <row r="773">
          <cell r="C773" t="str">
            <v>Sales Buzz System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S773">
            <v>0</v>
          </cell>
        </row>
        <row r="774">
          <cell r="C774" t="str">
            <v xml:space="preserve">FMS Release Upgrade 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S774">
            <v>0</v>
          </cell>
        </row>
        <row r="775">
          <cell r="C775" t="str">
            <v>ERP Evolution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</row>
        <row r="776"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</row>
        <row r="777"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S777">
            <v>0</v>
          </cell>
        </row>
        <row r="778"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</row>
        <row r="779"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S779">
            <v>0</v>
          </cell>
        </row>
        <row r="780"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</row>
        <row r="781"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S781">
            <v>0</v>
          </cell>
        </row>
        <row r="782"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</row>
        <row r="783"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</row>
        <row r="784"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S784">
            <v>0</v>
          </cell>
        </row>
        <row r="785"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</row>
        <row r="786"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S786">
            <v>0</v>
          </cell>
        </row>
        <row r="787"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S787">
            <v>0</v>
          </cell>
        </row>
        <row r="788"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</row>
        <row r="789"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</row>
        <row r="790"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</row>
        <row r="791"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S791">
            <v>0</v>
          </cell>
        </row>
        <row r="792"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S792">
            <v>0</v>
          </cell>
        </row>
        <row r="793"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</row>
        <row r="794"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S794">
            <v>0</v>
          </cell>
        </row>
        <row r="795"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S795">
            <v>0</v>
          </cell>
        </row>
        <row r="796"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</row>
        <row r="797"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S797">
            <v>0</v>
          </cell>
        </row>
        <row r="798"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S798">
            <v>0</v>
          </cell>
        </row>
        <row r="799"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</row>
        <row r="800"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S800">
            <v>0</v>
          </cell>
        </row>
        <row r="801"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S801">
            <v>0</v>
          </cell>
        </row>
        <row r="802"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</row>
        <row r="803"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S803">
            <v>0</v>
          </cell>
        </row>
        <row r="804"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S804">
            <v>0</v>
          </cell>
        </row>
        <row r="805"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S805">
            <v>0</v>
          </cell>
        </row>
        <row r="806"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S806">
            <v>0</v>
          </cell>
        </row>
        <row r="807"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</row>
        <row r="808"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0</v>
          </cell>
        </row>
        <row r="809"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</row>
        <row r="810"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S810">
            <v>0</v>
          </cell>
        </row>
        <row r="811"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S811">
            <v>0</v>
          </cell>
        </row>
        <row r="812"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S812">
            <v>0</v>
          </cell>
        </row>
        <row r="813"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</row>
        <row r="814"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S814">
            <v>0</v>
          </cell>
        </row>
        <row r="815"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</row>
        <row r="816"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</row>
        <row r="817"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S817">
            <v>0</v>
          </cell>
        </row>
        <row r="818"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S818">
            <v>0</v>
          </cell>
        </row>
        <row r="819"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 t="str">
            <v>-</v>
          </cell>
          <cell r="S819">
            <v>0</v>
          </cell>
        </row>
        <row r="820"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 t="str">
            <v>-</v>
          </cell>
          <cell r="S820">
            <v>0</v>
          </cell>
        </row>
        <row r="821"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 t="str">
            <v>-</v>
          </cell>
          <cell r="S821">
            <v>0</v>
          </cell>
        </row>
        <row r="822"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 t="str">
            <v>-</v>
          </cell>
          <cell r="S822">
            <v>0</v>
          </cell>
        </row>
        <row r="823"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 t="str">
            <v>-</v>
          </cell>
          <cell r="S823">
            <v>0</v>
          </cell>
        </row>
        <row r="824">
          <cell r="C824" t="str">
            <v>Capitalised IT Applications (IT&amp;N1)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 t="str">
            <v>T</v>
          </cell>
          <cell r="R824">
            <v>0</v>
          </cell>
          <cell r="S824">
            <v>0</v>
          </cell>
        </row>
        <row r="825"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 t="str">
            <v>-</v>
          </cell>
          <cell r="S825">
            <v>0</v>
          </cell>
        </row>
        <row r="826">
          <cell r="C826" t="str">
            <v>IT - Servers &amp; Infrastructure equipments</v>
          </cell>
          <cell r="D826">
            <v>0</v>
          </cell>
          <cell r="E826">
            <v>0</v>
          </cell>
          <cell r="F826">
            <v>2187000</v>
          </cell>
          <cell r="G826">
            <v>15925000</v>
          </cell>
          <cell r="H826">
            <v>10062000.000000002</v>
          </cell>
          <cell r="I826">
            <v>7525000</v>
          </cell>
          <cell r="J826">
            <v>12599000</v>
          </cell>
          <cell r="K826">
            <v>8575000</v>
          </cell>
          <cell r="L826">
            <v>5788000</v>
          </cell>
          <cell r="M826">
            <v>2387000</v>
          </cell>
          <cell r="N826">
            <v>8925000</v>
          </cell>
          <cell r="O826">
            <v>0</v>
          </cell>
          <cell r="P826">
            <v>73973000</v>
          </cell>
          <cell r="Q826" t="str">
            <v>T</v>
          </cell>
          <cell r="R826">
            <v>0</v>
          </cell>
          <cell r="S826">
            <v>0</v>
          </cell>
        </row>
        <row r="827">
          <cell r="C827" t="str">
            <v xml:space="preserve">Infrastructure Evolution &amp; HW Refreshment 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 t="str">
            <v>-</v>
          </cell>
          <cell r="S827">
            <v>0</v>
          </cell>
        </row>
        <row r="828">
          <cell r="C828" t="str">
            <v>IN HW Modernization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 t="str">
            <v>-</v>
          </cell>
          <cell r="S828">
            <v>0</v>
          </cell>
        </row>
        <row r="829">
          <cell r="C829" t="str">
            <v xml:space="preserve">OSS 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 t="str">
            <v>-</v>
          </cell>
          <cell r="S829">
            <v>0</v>
          </cell>
        </row>
        <row r="830">
          <cell r="C830" t="str">
            <v>Information Security</v>
          </cell>
          <cell r="D830">
            <v>0</v>
          </cell>
          <cell r="E830">
            <v>0</v>
          </cell>
          <cell r="F830">
            <v>2187000</v>
          </cell>
          <cell r="G830">
            <v>15925000</v>
          </cell>
          <cell r="H830">
            <v>10062000.000000002</v>
          </cell>
          <cell r="I830">
            <v>7525000</v>
          </cell>
          <cell r="J830">
            <v>12599000</v>
          </cell>
          <cell r="K830">
            <v>8575000</v>
          </cell>
          <cell r="L830">
            <v>5788000</v>
          </cell>
          <cell r="M830">
            <v>2387000</v>
          </cell>
          <cell r="N830">
            <v>8925000</v>
          </cell>
          <cell r="O830">
            <v>0</v>
          </cell>
          <cell r="P830">
            <v>73973000</v>
          </cell>
          <cell r="Q830" t="str">
            <v>-</v>
          </cell>
          <cell r="S830" t="str">
            <v>Information Security</v>
          </cell>
        </row>
        <row r="831">
          <cell r="C831" t="str">
            <v>UC4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 t="str">
            <v>-</v>
          </cell>
          <cell r="S831">
            <v>0</v>
          </cell>
        </row>
        <row r="832"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 t="str">
            <v>-</v>
          </cell>
          <cell r="S832">
            <v>0</v>
          </cell>
        </row>
        <row r="833"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 t="str">
            <v>-</v>
          </cell>
          <cell r="S833">
            <v>0</v>
          </cell>
        </row>
        <row r="834"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 t="str">
            <v>-</v>
          </cell>
          <cell r="S834">
            <v>0</v>
          </cell>
        </row>
        <row r="835"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 t="str">
            <v>-</v>
          </cell>
          <cell r="S835">
            <v>0</v>
          </cell>
        </row>
        <row r="836"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 t="str">
            <v>-</v>
          </cell>
          <cell r="S836">
            <v>0</v>
          </cell>
        </row>
        <row r="837"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 t="str">
            <v>-</v>
          </cell>
          <cell r="S837">
            <v>0</v>
          </cell>
        </row>
        <row r="838"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 t="str">
            <v>-</v>
          </cell>
          <cell r="S838">
            <v>0</v>
          </cell>
        </row>
        <row r="839"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 t="str">
            <v>-</v>
          </cell>
          <cell r="S839">
            <v>0</v>
          </cell>
        </row>
        <row r="840"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 t="str">
            <v>-</v>
          </cell>
          <cell r="S840">
            <v>0</v>
          </cell>
        </row>
        <row r="841"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 t="str">
            <v>-</v>
          </cell>
          <cell r="S841">
            <v>0</v>
          </cell>
        </row>
        <row r="842"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 t="str">
            <v>-</v>
          </cell>
          <cell r="S842">
            <v>0</v>
          </cell>
        </row>
        <row r="843"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 t="str">
            <v>-</v>
          </cell>
          <cell r="S843">
            <v>0</v>
          </cell>
        </row>
        <row r="844"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 t="str">
            <v>-</v>
          </cell>
          <cell r="S844">
            <v>0</v>
          </cell>
        </row>
        <row r="845"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 t="str">
            <v>-</v>
          </cell>
          <cell r="S845">
            <v>0</v>
          </cell>
        </row>
        <row r="846"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 t="str">
            <v>-</v>
          </cell>
          <cell r="S846">
            <v>0</v>
          </cell>
        </row>
        <row r="847">
          <cell r="C847" t="str">
            <v>IT - Desktops &amp; IT Office equipments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 t="str">
            <v>T</v>
          </cell>
          <cell r="R847">
            <v>0</v>
          </cell>
          <cell r="S847">
            <v>0</v>
          </cell>
        </row>
        <row r="848">
          <cell r="C848" t="str">
            <v>Devices Modernization &amp; Expansion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 t="str">
            <v>-</v>
          </cell>
          <cell r="S848">
            <v>0</v>
          </cell>
        </row>
        <row r="849"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 t="str">
            <v>-</v>
          </cell>
          <cell r="S849">
            <v>0</v>
          </cell>
        </row>
        <row r="850"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 t="str">
            <v>-</v>
          </cell>
          <cell r="S850">
            <v>0</v>
          </cell>
        </row>
        <row r="851"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 t="str">
            <v>-</v>
          </cell>
          <cell r="S851">
            <v>0</v>
          </cell>
        </row>
        <row r="852"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 t="str">
            <v>-</v>
          </cell>
          <cell r="S852">
            <v>0</v>
          </cell>
        </row>
        <row r="853"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 t="str">
            <v>-</v>
          </cell>
          <cell r="S853">
            <v>0</v>
          </cell>
        </row>
        <row r="854"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 t="str">
            <v>-</v>
          </cell>
          <cell r="S854">
            <v>0</v>
          </cell>
        </row>
        <row r="855"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 t="str">
            <v>-</v>
          </cell>
          <cell r="S855">
            <v>0</v>
          </cell>
        </row>
        <row r="856"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 t="str">
            <v>-</v>
          </cell>
          <cell r="S856">
            <v>0</v>
          </cell>
        </row>
        <row r="857"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 t="str">
            <v>-</v>
          </cell>
          <cell r="S857">
            <v>0</v>
          </cell>
        </row>
        <row r="858"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 t="str">
            <v>-</v>
          </cell>
          <cell r="S858">
            <v>0</v>
          </cell>
        </row>
        <row r="859"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 t="str">
            <v>-</v>
          </cell>
          <cell r="S859">
            <v>0</v>
          </cell>
        </row>
        <row r="860"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 t="str">
            <v>-</v>
          </cell>
          <cell r="S860">
            <v>0</v>
          </cell>
        </row>
        <row r="861"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 t="str">
            <v>-</v>
          </cell>
          <cell r="S861">
            <v>0</v>
          </cell>
        </row>
        <row r="862"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 t="str">
            <v>-</v>
          </cell>
          <cell r="S862">
            <v>0</v>
          </cell>
        </row>
        <row r="863"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 t="str">
            <v>-</v>
          </cell>
          <cell r="S863">
            <v>0</v>
          </cell>
        </row>
        <row r="864"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 t="str">
            <v>-</v>
          </cell>
          <cell r="S864">
            <v>0</v>
          </cell>
        </row>
        <row r="865"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 t="str">
            <v>-</v>
          </cell>
          <cell r="S865">
            <v>0</v>
          </cell>
        </row>
        <row r="866"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 t="str">
            <v>-</v>
          </cell>
          <cell r="S866">
            <v>0</v>
          </cell>
        </row>
        <row r="867"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 t="str">
            <v>-</v>
          </cell>
          <cell r="S867">
            <v>0</v>
          </cell>
        </row>
        <row r="868">
          <cell r="C868" t="str">
            <v>Capitalised IT Hardware (IT&amp;N4)</v>
          </cell>
          <cell r="D868">
            <v>0</v>
          </cell>
          <cell r="E868">
            <v>0</v>
          </cell>
          <cell r="F868">
            <v>2187000</v>
          </cell>
          <cell r="G868">
            <v>15925000</v>
          </cell>
          <cell r="H868">
            <v>10062000.000000002</v>
          </cell>
          <cell r="I868">
            <v>7525000</v>
          </cell>
          <cell r="J868">
            <v>12599000</v>
          </cell>
          <cell r="K868">
            <v>8575000</v>
          </cell>
          <cell r="L868">
            <v>5788000</v>
          </cell>
          <cell r="M868">
            <v>2387000</v>
          </cell>
          <cell r="N868">
            <v>8925000</v>
          </cell>
          <cell r="O868">
            <v>0</v>
          </cell>
          <cell r="P868">
            <v>73973000</v>
          </cell>
          <cell r="Q868" t="str">
            <v>T</v>
          </cell>
          <cell r="R868">
            <v>0</v>
          </cell>
          <cell r="S868">
            <v>0</v>
          </cell>
        </row>
        <row r="869"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 t="str">
            <v>-</v>
          </cell>
          <cell r="S869">
            <v>0</v>
          </cell>
        </row>
        <row r="870">
          <cell r="C870" t="str">
            <v>IT</v>
          </cell>
          <cell r="D870">
            <v>0</v>
          </cell>
          <cell r="E870">
            <v>0</v>
          </cell>
          <cell r="F870">
            <v>2187000</v>
          </cell>
          <cell r="G870">
            <v>15925000</v>
          </cell>
          <cell r="H870">
            <v>10062000.000000002</v>
          </cell>
          <cell r="I870">
            <v>7525000</v>
          </cell>
          <cell r="J870">
            <v>12599000</v>
          </cell>
          <cell r="K870">
            <v>8575000</v>
          </cell>
          <cell r="L870">
            <v>5788000</v>
          </cell>
          <cell r="M870">
            <v>2387000</v>
          </cell>
          <cell r="N870">
            <v>8925000</v>
          </cell>
          <cell r="O870">
            <v>0</v>
          </cell>
          <cell r="P870">
            <v>73973000</v>
          </cell>
          <cell r="Q870" t="str">
            <v>T</v>
          </cell>
          <cell r="S870">
            <v>0</v>
          </cell>
        </row>
        <row r="871">
          <cell r="C871" t="str">
            <v>Total CAPEX</v>
          </cell>
          <cell r="D871">
            <v>156276561.42750001</v>
          </cell>
          <cell r="E871">
            <v>210173440.71582183</v>
          </cell>
          <cell r="F871">
            <v>343531572.48654181</v>
          </cell>
          <cell r="G871">
            <v>235911397.03568181</v>
          </cell>
          <cell r="H871">
            <v>271986397.03568184</v>
          </cell>
          <cell r="I871">
            <v>292043936.0666818</v>
          </cell>
          <cell r="J871">
            <v>297285903.23568177</v>
          </cell>
          <cell r="K871">
            <v>242583717.25201514</v>
          </cell>
          <cell r="L871">
            <v>255078622.41251516</v>
          </cell>
          <cell r="M871">
            <v>325578835.54151517</v>
          </cell>
          <cell r="N871">
            <v>314835288.54762512</v>
          </cell>
          <cell r="O871">
            <v>404844361.93872333</v>
          </cell>
          <cell r="P871">
            <v>3350130033.6959848</v>
          </cell>
          <cell r="Q871" t="str">
            <v>T</v>
          </cell>
          <cell r="S871">
            <v>0</v>
          </cell>
        </row>
        <row r="872"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S872">
            <v>0</v>
          </cell>
        </row>
        <row r="873"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S873">
            <v>0</v>
          </cell>
        </row>
        <row r="874">
          <cell r="C874" t="str">
            <v xml:space="preserve">% Quarter </v>
          </cell>
          <cell r="D874">
            <v>0</v>
          </cell>
          <cell r="E874">
            <v>0</v>
          </cell>
          <cell r="F874">
            <v>709981574.62986374</v>
          </cell>
          <cell r="G874">
            <v>0</v>
          </cell>
          <cell r="H874">
            <v>0</v>
          </cell>
          <cell r="I874">
            <v>799941730.13804555</v>
          </cell>
          <cell r="J874">
            <v>0</v>
          </cell>
          <cell r="K874">
            <v>0</v>
          </cell>
          <cell r="L874">
            <v>794948242.90021205</v>
          </cell>
          <cell r="M874">
            <v>0</v>
          </cell>
          <cell r="N874">
            <v>0</v>
          </cell>
          <cell r="O874">
            <v>1045258486.0278636</v>
          </cell>
          <cell r="P874">
            <v>3350130033.6959848</v>
          </cell>
          <cell r="S874">
            <v>0</v>
          </cell>
        </row>
        <row r="875">
          <cell r="C875">
            <v>0</v>
          </cell>
          <cell r="D875">
            <v>0</v>
          </cell>
          <cell r="E875">
            <v>0</v>
          </cell>
          <cell r="F875">
            <v>0.21192657224907366</v>
          </cell>
          <cell r="G875">
            <v>0</v>
          </cell>
          <cell r="H875">
            <v>0</v>
          </cell>
          <cell r="I875">
            <v>0.23877930769616151</v>
          </cell>
          <cell r="J875">
            <v>0</v>
          </cell>
          <cell r="K875">
            <v>0</v>
          </cell>
          <cell r="L875">
            <v>0.2372887723475009</v>
          </cell>
          <cell r="M875">
            <v>0</v>
          </cell>
          <cell r="N875">
            <v>0</v>
          </cell>
          <cell r="O875">
            <v>0.31200534770726396</v>
          </cell>
          <cell r="P875">
            <v>0</v>
          </cell>
          <cell r="S875">
            <v>0</v>
          </cell>
        </row>
        <row r="876"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S876">
            <v>0</v>
          </cell>
        </row>
        <row r="877"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S877">
            <v>0</v>
          </cell>
        </row>
        <row r="878"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S878">
            <v>0</v>
          </cell>
        </row>
        <row r="879">
          <cell r="C879">
            <v>0</v>
          </cell>
          <cell r="D879" t="str">
            <v>Q1%</v>
          </cell>
          <cell r="E879" t="str">
            <v>Q2%</v>
          </cell>
          <cell r="F879" t="str">
            <v>Q3%</v>
          </cell>
          <cell r="G879" t="str">
            <v>Q4%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S879">
            <v>0</v>
          </cell>
        </row>
        <row r="880"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 t="str">
            <v>q</v>
          </cell>
        </row>
        <row r="881"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S881">
            <v>0</v>
          </cell>
        </row>
        <row r="882">
          <cell r="C882" t="str">
            <v xml:space="preserve">Division 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44317</v>
          </cell>
          <cell r="I882">
            <v>44348</v>
          </cell>
          <cell r="J882">
            <v>44378</v>
          </cell>
          <cell r="K882">
            <v>44409</v>
          </cell>
          <cell r="L882">
            <v>44440</v>
          </cell>
          <cell r="M882">
            <v>44470</v>
          </cell>
          <cell r="N882">
            <v>44501</v>
          </cell>
          <cell r="O882">
            <v>44531</v>
          </cell>
          <cell r="P882" t="str">
            <v xml:space="preserve">Total </v>
          </cell>
          <cell r="S882">
            <v>0</v>
          </cell>
        </row>
        <row r="883">
          <cell r="C883" t="str">
            <v xml:space="preserve">RAN 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129751970</v>
          </cell>
          <cell r="I883">
            <v>144142050</v>
          </cell>
          <cell r="J883">
            <v>20168500</v>
          </cell>
          <cell r="K883">
            <v>22986300</v>
          </cell>
          <cell r="L883">
            <v>28795600</v>
          </cell>
          <cell r="M883">
            <v>42460000</v>
          </cell>
          <cell r="N883">
            <v>32810000</v>
          </cell>
          <cell r="O883">
            <v>26055000</v>
          </cell>
          <cell r="P883">
            <v>1085667026.7</v>
          </cell>
          <cell r="S883">
            <v>0</v>
          </cell>
        </row>
        <row r="884">
          <cell r="C884" t="str">
            <v xml:space="preserve">Radio 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19909570.547727279</v>
          </cell>
          <cell r="I884">
            <v>30004019.564393945</v>
          </cell>
          <cell r="J884">
            <v>12410492.272727283</v>
          </cell>
          <cell r="K884">
            <v>10597186.704545457</v>
          </cell>
          <cell r="L884">
            <v>20013671.557575706</v>
          </cell>
          <cell r="M884">
            <v>7967045.4545454569</v>
          </cell>
          <cell r="N884">
            <v>11456228.371212129</v>
          </cell>
          <cell r="O884">
            <v>21045597.004545458</v>
          </cell>
          <cell r="P884">
            <v>200000000</v>
          </cell>
          <cell r="S884">
            <v>0</v>
          </cell>
        </row>
        <row r="885">
          <cell r="C885" t="str">
            <v xml:space="preserve">Energy 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19300000</v>
          </cell>
          <cell r="I885">
            <v>18755000</v>
          </cell>
          <cell r="J885">
            <v>9500000</v>
          </cell>
          <cell r="K885">
            <v>10000000</v>
          </cell>
          <cell r="L885">
            <v>11000000</v>
          </cell>
          <cell r="M885">
            <v>66000000</v>
          </cell>
          <cell r="N885">
            <v>50800000</v>
          </cell>
          <cell r="O885">
            <v>19600000</v>
          </cell>
          <cell r="P885">
            <v>255553680</v>
          </cell>
          <cell r="S885">
            <v>0</v>
          </cell>
        </row>
        <row r="886">
          <cell r="C886" t="str">
            <v xml:space="preserve">SKC 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198081</v>
          </cell>
          <cell r="K886">
            <v>761850</v>
          </cell>
          <cell r="L886">
            <v>0</v>
          </cell>
          <cell r="M886">
            <v>125000</v>
          </cell>
          <cell r="N886">
            <v>0</v>
          </cell>
          <cell r="O886">
            <v>0</v>
          </cell>
          <cell r="P886">
            <v>1115418.5899999999</v>
          </cell>
          <cell r="S886">
            <v>0</v>
          </cell>
        </row>
        <row r="887">
          <cell r="C887" t="str">
            <v>OSS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527758.89</v>
          </cell>
          <cell r="K887">
            <v>0</v>
          </cell>
          <cell r="L887">
            <v>0</v>
          </cell>
          <cell r="M887">
            <v>582600</v>
          </cell>
          <cell r="N887">
            <v>3376050</v>
          </cell>
          <cell r="O887">
            <v>582600</v>
          </cell>
          <cell r="P887">
            <v>5789254.1299999999</v>
          </cell>
          <cell r="S887">
            <v>0</v>
          </cell>
        </row>
        <row r="888">
          <cell r="C888" t="str">
            <v xml:space="preserve">Deployment 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43170530.708475582</v>
          </cell>
          <cell r="I888">
            <v>40170530.708475582</v>
          </cell>
          <cell r="J888">
            <v>16000000</v>
          </cell>
          <cell r="K888">
            <v>16000000</v>
          </cell>
          <cell r="L888">
            <v>16000000</v>
          </cell>
          <cell r="M888">
            <v>16000000</v>
          </cell>
          <cell r="N888">
            <v>16000000</v>
          </cell>
          <cell r="O888">
            <v>16000000</v>
          </cell>
          <cell r="P888">
            <v>294463078.91695118</v>
          </cell>
          <cell r="S888">
            <v>0</v>
          </cell>
        </row>
        <row r="889">
          <cell r="C889" t="str">
            <v xml:space="preserve">Core Engineering 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17326840</v>
          </cell>
          <cell r="I889">
            <v>37628361.859999999</v>
          </cell>
          <cell r="J889">
            <v>7888990.8000000007</v>
          </cell>
          <cell r="K889">
            <v>1347487.4000000001</v>
          </cell>
          <cell r="L889">
            <v>8758.6874000000007</v>
          </cell>
          <cell r="M889">
            <v>22137350.900000002</v>
          </cell>
          <cell r="N889">
            <v>25641143.620000001</v>
          </cell>
          <cell r="O889">
            <v>9285755.5700000003</v>
          </cell>
          <cell r="P889">
            <v>166577964.99380001</v>
          </cell>
          <cell r="S889">
            <v>0</v>
          </cell>
        </row>
        <row r="890">
          <cell r="C890" t="str">
            <v>Transmission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14912261.35083333</v>
          </cell>
          <cell r="I890">
            <v>20336691.494646579</v>
          </cell>
          <cell r="J890">
            <v>23768260.340725496</v>
          </cell>
          <cell r="K890">
            <v>16844354.783050001</v>
          </cell>
          <cell r="L890">
            <v>33901546.69568333</v>
          </cell>
          <cell r="M890">
            <v>16900567.87875</v>
          </cell>
          <cell r="N890">
            <v>3000000</v>
          </cell>
          <cell r="O890">
            <v>2500000</v>
          </cell>
          <cell r="P890">
            <v>231154765.14630207</v>
          </cell>
          <cell r="S890">
            <v>0</v>
          </cell>
        </row>
        <row r="891">
          <cell r="C891" t="str">
            <v xml:space="preserve">Data Network 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6216403.0734205972</v>
          </cell>
          <cell r="I891">
            <v>6613887.0973249897</v>
          </cell>
          <cell r="J891">
            <v>1973797.9039707563</v>
          </cell>
          <cell r="K891">
            <v>2152574.6980292439</v>
          </cell>
          <cell r="L891">
            <v>701735.27910146222</v>
          </cell>
          <cell r="M891">
            <v>307851.37990146212</v>
          </cell>
          <cell r="N891">
            <v>30469496.760907803</v>
          </cell>
          <cell r="O891">
            <v>33157153.963854529</v>
          </cell>
          <cell r="P891">
            <v>87666280.124074847</v>
          </cell>
          <cell r="R891">
            <v>0</v>
          </cell>
          <cell r="S891">
            <v>0</v>
          </cell>
        </row>
        <row r="892">
          <cell r="C892" t="str">
            <v xml:space="preserve">QoS 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15000000</v>
          </cell>
          <cell r="J892">
            <v>2262850</v>
          </cell>
          <cell r="K892">
            <v>0</v>
          </cell>
          <cell r="L892">
            <v>5371000</v>
          </cell>
          <cell r="M892">
            <v>2541456.5</v>
          </cell>
          <cell r="N892">
            <v>605500</v>
          </cell>
          <cell r="O892">
            <v>0</v>
          </cell>
          <cell r="P892">
            <v>25780806.5</v>
          </cell>
          <cell r="R892">
            <v>0</v>
          </cell>
          <cell r="S892">
            <v>0</v>
          </cell>
        </row>
        <row r="893">
          <cell r="C893" t="str">
            <v>Network operation &amp; support/cor/DN spares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1000631.3774999999</v>
          </cell>
          <cell r="I893">
            <v>2037049.3774999999</v>
          </cell>
          <cell r="J893">
            <v>350000</v>
          </cell>
          <cell r="K893">
            <v>700000</v>
          </cell>
          <cell r="L893">
            <v>350000</v>
          </cell>
          <cell r="M893">
            <v>7550000</v>
          </cell>
          <cell r="N893">
            <v>8350000</v>
          </cell>
          <cell r="O893">
            <v>3100000</v>
          </cell>
          <cell r="P893">
            <v>27396425.252499998</v>
          </cell>
          <cell r="S893" t="str">
            <v>q</v>
          </cell>
        </row>
        <row r="894">
          <cell r="C894" t="str">
            <v xml:space="preserve">Total Network 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251588207.05795678</v>
          </cell>
          <cell r="I894">
            <v>314687590.10234112</v>
          </cell>
          <cell r="J894">
            <v>95048731.207423538</v>
          </cell>
          <cell r="K894">
            <v>81389753.585624695</v>
          </cell>
          <cell r="L894">
            <v>116142312.21976049</v>
          </cell>
          <cell r="M894">
            <v>182571872.11319691</v>
          </cell>
          <cell r="N894">
            <v>182508418.75211993</v>
          </cell>
          <cell r="O894">
            <v>131326106.53839996</v>
          </cell>
          <cell r="P894">
            <v>2381164700.3536282</v>
          </cell>
          <cell r="S894" t="str">
            <v>q</v>
          </cell>
        </row>
        <row r="895">
          <cell r="C895" t="str">
            <v>Info Sec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4108584.3483210043</v>
          </cell>
          <cell r="I895">
            <v>3390856.4143426223</v>
          </cell>
          <cell r="J895">
            <v>0</v>
          </cell>
          <cell r="K895">
            <v>0</v>
          </cell>
          <cell r="L895">
            <v>2549232.8664971394</v>
          </cell>
          <cell r="M895">
            <v>2639900.3890654799</v>
          </cell>
          <cell r="N895">
            <v>12828775.962492056</v>
          </cell>
          <cell r="O895">
            <v>1982090.7819453273</v>
          </cell>
          <cell r="P895">
            <v>46145957.258395001</v>
          </cell>
          <cell r="S895" t="str">
            <v>q</v>
          </cell>
        </row>
        <row r="896">
          <cell r="C896" t="str">
            <v xml:space="preserve">Grand Total 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255696791.40627778</v>
          </cell>
          <cell r="I896">
            <v>318078446.51668376</v>
          </cell>
          <cell r="J896">
            <v>95048731.207423538</v>
          </cell>
          <cell r="K896">
            <v>81389753.585624695</v>
          </cell>
          <cell r="L896">
            <v>118691545.08625764</v>
          </cell>
          <cell r="M896">
            <v>185211772.50226238</v>
          </cell>
          <cell r="N896">
            <v>195337194.71461198</v>
          </cell>
          <cell r="O896">
            <v>133308197.3203453</v>
          </cell>
          <cell r="P896">
            <v>2427310657.6120234</v>
          </cell>
          <cell r="S896" t="str">
            <v>q</v>
          </cell>
        </row>
        <row r="897"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S897" t="str">
            <v>q</v>
          </cell>
        </row>
        <row r="898"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-77020.839999675751</v>
          </cell>
          <cell r="S898" t="str">
            <v>q</v>
          </cell>
        </row>
        <row r="899"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S899" t="str">
            <v>q</v>
          </cell>
        </row>
        <row r="900">
          <cell r="C900" t="str">
            <v>CAPEX (MEGP)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44337</v>
          </cell>
          <cell r="I900">
            <v>44368</v>
          </cell>
          <cell r="J900">
            <v>44398</v>
          </cell>
          <cell r="K900">
            <v>44429</v>
          </cell>
          <cell r="L900">
            <v>44460</v>
          </cell>
          <cell r="M900">
            <v>44490</v>
          </cell>
          <cell r="N900">
            <v>44521</v>
          </cell>
          <cell r="O900">
            <v>44551</v>
          </cell>
          <cell r="P900" t="str">
            <v>Total</v>
          </cell>
          <cell r="S900" t="str">
            <v>q</v>
          </cell>
        </row>
        <row r="901">
          <cell r="C901" t="str">
            <v>Network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299.7</v>
          </cell>
          <cell r="I901">
            <v>276.3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S901" t="str">
            <v>q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P902">
            <v>2433</v>
          </cell>
          <cell r="S902" t="str">
            <v>q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P903">
            <v>2452</v>
          </cell>
          <cell r="S903" t="str">
            <v>q</v>
          </cell>
        </row>
        <row r="904">
          <cell r="C904" t="str">
            <v xml:space="preserve">% Quarter </v>
          </cell>
          <cell r="D904">
            <v>0.21192657224907366</v>
          </cell>
          <cell r="E904">
            <v>0.23877930769616151</v>
          </cell>
          <cell r="F904">
            <v>0.2372887723475009</v>
          </cell>
          <cell r="G904">
            <v>0.31200534770726396</v>
          </cell>
          <cell r="M904">
            <v>0</v>
          </cell>
          <cell r="N904">
            <v>0</v>
          </cell>
          <cell r="O904">
            <v>0</v>
          </cell>
          <cell r="S904" t="str">
            <v>q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M905">
            <v>0</v>
          </cell>
          <cell r="N905">
            <v>0</v>
          </cell>
          <cell r="O905">
            <v>0</v>
          </cell>
          <cell r="S905" t="str">
            <v>q</v>
          </cell>
        </row>
        <row r="906">
          <cell r="M906">
            <v>0</v>
          </cell>
          <cell r="N906">
            <v>0</v>
          </cell>
          <cell r="O906">
            <v>0</v>
          </cell>
          <cell r="P906">
            <v>19</v>
          </cell>
          <cell r="S906" t="str">
            <v>q</v>
          </cell>
        </row>
        <row r="907">
          <cell r="P907">
            <v>0</v>
          </cell>
          <cell r="S907" t="str">
            <v>q</v>
          </cell>
        </row>
        <row r="908">
          <cell r="D908">
            <v>0</v>
          </cell>
          <cell r="E908">
            <v>0</v>
          </cell>
          <cell r="F908">
            <v>0</v>
          </cell>
          <cell r="S908" t="str">
            <v>q</v>
          </cell>
        </row>
        <row r="909">
          <cell r="C909" t="str">
            <v xml:space="preserve">Division </v>
          </cell>
          <cell r="D909">
            <v>43831</v>
          </cell>
          <cell r="E909">
            <v>43862</v>
          </cell>
          <cell r="F909">
            <v>43891</v>
          </cell>
          <cell r="G909">
            <v>43922</v>
          </cell>
          <cell r="H909">
            <v>43952</v>
          </cell>
          <cell r="I909">
            <v>43983</v>
          </cell>
          <cell r="J909">
            <v>44013</v>
          </cell>
          <cell r="K909">
            <v>44044</v>
          </cell>
          <cell r="L909">
            <v>44075</v>
          </cell>
          <cell r="M909">
            <v>44105</v>
          </cell>
          <cell r="N909">
            <v>44136</v>
          </cell>
          <cell r="O909">
            <v>44166</v>
          </cell>
          <cell r="P909" t="str">
            <v xml:space="preserve">Total </v>
          </cell>
          <cell r="S909">
            <v>0</v>
          </cell>
        </row>
        <row r="910">
          <cell r="C910" t="str">
            <v xml:space="preserve">RAN </v>
          </cell>
          <cell r="D910">
            <v>74592000</v>
          </cell>
          <cell r="E910">
            <v>96768000</v>
          </cell>
          <cell r="F910">
            <v>201600000</v>
          </cell>
          <cell r="G910">
            <v>122976000</v>
          </cell>
          <cell r="H910">
            <v>110880000</v>
          </cell>
          <cell r="I910">
            <v>151200000</v>
          </cell>
          <cell r="J910">
            <v>141120000</v>
          </cell>
          <cell r="K910">
            <v>128016000</v>
          </cell>
          <cell r="L910">
            <v>100800000</v>
          </cell>
          <cell r="M910">
            <v>136080000</v>
          </cell>
          <cell r="N910">
            <v>181440000</v>
          </cell>
          <cell r="O910">
            <v>231840000</v>
          </cell>
          <cell r="P910">
            <v>1677312000</v>
          </cell>
          <cell r="S910">
            <v>0</v>
          </cell>
        </row>
        <row r="911">
          <cell r="C911" t="str">
            <v xml:space="preserve">Radio </v>
          </cell>
          <cell r="D911">
            <v>687500</v>
          </cell>
          <cell r="E911">
            <v>10423691.818181818</v>
          </cell>
          <cell r="F911">
            <v>39918317.258181818</v>
          </cell>
          <cell r="G911">
            <v>16568515.258181818</v>
          </cell>
          <cell r="H911">
            <v>19932715.258181818</v>
          </cell>
          <cell r="I911">
            <v>34361241.81818182</v>
          </cell>
          <cell r="J911">
            <v>19156051.258181818</v>
          </cell>
          <cell r="K911">
            <v>25606875.258181818</v>
          </cell>
          <cell r="L911">
            <v>39786605.258181825</v>
          </cell>
          <cell r="M911">
            <v>26648515.258181818</v>
          </cell>
          <cell r="N911">
            <v>23852155.258181822</v>
          </cell>
          <cell r="O911">
            <v>58543646.880000003</v>
          </cell>
          <cell r="P911">
            <v>315485830.58181816</v>
          </cell>
          <cell r="S911">
            <v>0</v>
          </cell>
        </row>
        <row r="912">
          <cell r="C912" t="str">
            <v xml:space="preserve">Energy </v>
          </cell>
          <cell r="D912">
            <v>2000000</v>
          </cell>
          <cell r="E912">
            <v>2000000</v>
          </cell>
          <cell r="F912">
            <v>28000000</v>
          </cell>
          <cell r="G912">
            <v>7000000</v>
          </cell>
          <cell r="H912">
            <v>31000000</v>
          </cell>
          <cell r="I912">
            <v>6000000</v>
          </cell>
          <cell r="J912">
            <v>30000000</v>
          </cell>
          <cell r="K912">
            <v>4000000</v>
          </cell>
          <cell r="L912">
            <v>18500000</v>
          </cell>
          <cell r="M912">
            <v>48200000</v>
          </cell>
          <cell r="N912">
            <v>5200000</v>
          </cell>
          <cell r="O912">
            <v>5000000</v>
          </cell>
          <cell r="P912">
            <v>186900000</v>
          </cell>
          <cell r="S912">
            <v>0</v>
          </cell>
        </row>
        <row r="913">
          <cell r="C913" t="str">
            <v xml:space="preserve">SKC </v>
          </cell>
          <cell r="D913">
            <v>0</v>
          </cell>
          <cell r="E913">
            <v>0</v>
          </cell>
          <cell r="F913">
            <v>1008000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2016000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3024000</v>
          </cell>
          <cell r="S913">
            <v>0</v>
          </cell>
        </row>
        <row r="914">
          <cell r="C914" t="str">
            <v>OSS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614950</v>
          </cell>
          <cell r="J914">
            <v>0</v>
          </cell>
          <cell r="K914">
            <v>878500</v>
          </cell>
          <cell r="L914">
            <v>966350</v>
          </cell>
          <cell r="M914">
            <v>0</v>
          </cell>
          <cell r="N914">
            <v>527100</v>
          </cell>
          <cell r="O914">
            <v>0</v>
          </cell>
          <cell r="P914">
            <v>2986900</v>
          </cell>
          <cell r="S914">
            <v>0</v>
          </cell>
        </row>
        <row r="915">
          <cell r="C915" t="str">
            <v xml:space="preserve">Deployment </v>
          </cell>
          <cell r="D915">
            <v>34164300</v>
          </cell>
          <cell r="E915">
            <v>29164300</v>
          </cell>
          <cell r="F915">
            <v>27664300</v>
          </cell>
          <cell r="G915">
            <v>23464300</v>
          </cell>
          <cell r="H915">
            <v>29164300</v>
          </cell>
          <cell r="I915">
            <v>29164300</v>
          </cell>
          <cell r="J915">
            <v>23456795</v>
          </cell>
          <cell r="K915">
            <v>24456795</v>
          </cell>
          <cell r="L915">
            <v>24456795</v>
          </cell>
          <cell r="M915">
            <v>27456795</v>
          </cell>
          <cell r="N915">
            <v>24456795</v>
          </cell>
          <cell r="O915">
            <v>29456795</v>
          </cell>
          <cell r="P915">
            <v>326526570</v>
          </cell>
          <cell r="S915">
            <v>0</v>
          </cell>
        </row>
        <row r="916">
          <cell r="C916" t="str">
            <v xml:space="preserve">Core Engineering </v>
          </cell>
          <cell r="D916">
            <v>20200320</v>
          </cell>
          <cell r="E916">
            <v>40554704.399999999</v>
          </cell>
          <cell r="F916">
            <v>16128000</v>
          </cell>
          <cell r="G916">
            <v>24339000</v>
          </cell>
          <cell r="H916">
            <v>38908800</v>
          </cell>
          <cell r="I916">
            <v>25114045.600000001</v>
          </cell>
          <cell r="J916">
            <v>22176000</v>
          </cell>
          <cell r="K916">
            <v>10684800</v>
          </cell>
          <cell r="L916">
            <v>16692480</v>
          </cell>
          <cell r="M916">
            <v>22531950</v>
          </cell>
          <cell r="N916">
            <v>30942800</v>
          </cell>
          <cell r="O916">
            <v>31953600</v>
          </cell>
          <cell r="P916">
            <v>300226500</v>
          </cell>
          <cell r="S916">
            <v>0</v>
          </cell>
        </row>
        <row r="917">
          <cell r="C917" t="str">
            <v>Transmission</v>
          </cell>
          <cell r="D917">
            <v>20178950.399999999</v>
          </cell>
          <cell r="E917">
            <v>25809253.470140003</v>
          </cell>
          <cell r="F917">
            <v>17774464.200860001</v>
          </cell>
          <cell r="G917">
            <v>20178950.399999999</v>
          </cell>
          <cell r="H917">
            <v>20178950.399999999</v>
          </cell>
          <cell r="I917">
            <v>23404767.270999998</v>
          </cell>
          <cell r="J917">
            <v>30268425.599999998</v>
          </cell>
          <cell r="K917">
            <v>29571597.3105</v>
          </cell>
          <cell r="L917">
            <v>33494242.471000001</v>
          </cell>
          <cell r="M917">
            <v>30268425.599999998</v>
          </cell>
          <cell r="N917">
            <v>33497288.606109999</v>
          </cell>
          <cell r="O917">
            <v>25942170.375390001</v>
          </cell>
          <cell r="P917">
            <v>310567486.10500002</v>
          </cell>
          <cell r="S917">
            <v>0</v>
          </cell>
        </row>
        <row r="918">
          <cell r="C918" t="str">
            <v xml:space="preserve">Data Network </v>
          </cell>
          <cell r="D918">
            <v>4000000</v>
          </cell>
          <cell r="E918">
            <v>4000000</v>
          </cell>
          <cell r="F918">
            <v>2750000</v>
          </cell>
          <cell r="G918">
            <v>4000000</v>
          </cell>
          <cell r="H918">
            <v>8400000</v>
          </cell>
          <cell r="I918">
            <v>9500000</v>
          </cell>
          <cell r="J918">
            <v>18050000</v>
          </cell>
          <cell r="K918">
            <v>8300000.0000000009</v>
          </cell>
          <cell r="L918">
            <v>5000000</v>
          </cell>
          <cell r="M918">
            <v>3200000</v>
          </cell>
          <cell r="N918">
            <v>1500000</v>
          </cell>
          <cell r="O918">
            <v>6050000</v>
          </cell>
          <cell r="P918">
            <v>74750000</v>
          </cell>
        </row>
        <row r="919">
          <cell r="C919" t="str">
            <v xml:space="preserve">QoS </v>
          </cell>
          <cell r="D919">
            <v>0</v>
          </cell>
          <cell r="E919">
            <v>0</v>
          </cell>
          <cell r="F919">
            <v>6048000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2016000</v>
          </cell>
          <cell r="M919">
            <v>26208000</v>
          </cell>
          <cell r="N919">
            <v>2016000</v>
          </cell>
          <cell r="O919">
            <v>10080000</v>
          </cell>
          <cell r="P919">
            <v>46368000</v>
          </cell>
        </row>
        <row r="920">
          <cell r="C920" t="str">
            <v>Network operation &amp; support/cor/DN spares</v>
          </cell>
          <cell r="D920">
            <v>453491.02750000003</v>
          </cell>
          <cell r="E920">
            <v>1453491.0275000001</v>
          </cell>
          <cell r="F920">
            <v>453491.02750000003</v>
          </cell>
          <cell r="G920">
            <v>1459631.3774999999</v>
          </cell>
          <cell r="H920">
            <v>3459631.3774999999</v>
          </cell>
          <cell r="I920">
            <v>5159631.3775000004</v>
          </cell>
          <cell r="J920">
            <v>459631.3775</v>
          </cell>
          <cell r="K920">
            <v>478149.68333333329</v>
          </cell>
          <cell r="L920">
            <v>7578149.6833333336</v>
          </cell>
          <cell r="M920">
            <v>2598149.6833333331</v>
          </cell>
          <cell r="N920">
            <v>2478149.6833333331</v>
          </cell>
          <cell r="O920">
            <v>5978149.6833333336</v>
          </cell>
          <cell r="P920">
            <v>32009747.009166669</v>
          </cell>
          <cell r="S920">
            <v>0</v>
          </cell>
        </row>
        <row r="921">
          <cell r="C921" t="str">
            <v xml:space="preserve">Total Network </v>
          </cell>
          <cell r="D921">
            <v>156276561.42750001</v>
          </cell>
          <cell r="E921">
            <v>210173440.71582183</v>
          </cell>
          <cell r="F921">
            <v>341344572.48654181</v>
          </cell>
          <cell r="G921">
            <v>219986397.03568181</v>
          </cell>
          <cell r="H921">
            <v>261924397.03568181</v>
          </cell>
          <cell r="I921">
            <v>284518936.0666818</v>
          </cell>
          <cell r="J921">
            <v>284686903.23568183</v>
          </cell>
          <cell r="K921">
            <v>234008717.25201514</v>
          </cell>
          <cell r="L921">
            <v>249290622.41251516</v>
          </cell>
          <cell r="M921">
            <v>323191835.54151517</v>
          </cell>
          <cell r="N921">
            <v>305910288.54762512</v>
          </cell>
          <cell r="O921">
            <v>404844361.93872333</v>
          </cell>
          <cell r="P921">
            <v>3276157033.6959848</v>
          </cell>
          <cell r="S921">
            <v>0</v>
          </cell>
        </row>
        <row r="922">
          <cell r="C922" t="str">
            <v>Info Sec</v>
          </cell>
          <cell r="D922">
            <v>0</v>
          </cell>
          <cell r="E922">
            <v>0</v>
          </cell>
          <cell r="F922">
            <v>2187000</v>
          </cell>
          <cell r="G922">
            <v>15925000</v>
          </cell>
          <cell r="H922">
            <v>10062000.000000002</v>
          </cell>
          <cell r="I922">
            <v>7525000</v>
          </cell>
          <cell r="J922">
            <v>12599000</v>
          </cell>
          <cell r="K922">
            <v>8575000</v>
          </cell>
          <cell r="L922">
            <v>5788000</v>
          </cell>
          <cell r="M922">
            <v>2387000</v>
          </cell>
          <cell r="N922">
            <v>8925000</v>
          </cell>
          <cell r="O922">
            <v>0</v>
          </cell>
          <cell r="P922">
            <v>73973000</v>
          </cell>
        </row>
        <row r="923">
          <cell r="C923" t="str">
            <v xml:space="preserve">Grand Total </v>
          </cell>
          <cell r="D923">
            <v>156276561.42750001</v>
          </cell>
          <cell r="E923">
            <v>210173440.71582183</v>
          </cell>
          <cell r="F923">
            <v>343531572.48654181</v>
          </cell>
          <cell r="G923">
            <v>235911397.03568181</v>
          </cell>
          <cell r="H923">
            <v>271986397.03568184</v>
          </cell>
          <cell r="I923">
            <v>292043936.0666818</v>
          </cell>
          <cell r="J923">
            <v>297285903.23568183</v>
          </cell>
          <cell r="K923">
            <v>242583717.25201514</v>
          </cell>
          <cell r="L923">
            <v>255078622.41251516</v>
          </cell>
          <cell r="M923">
            <v>325578835.54151517</v>
          </cell>
          <cell r="N923">
            <v>314835288.54762512</v>
          </cell>
          <cell r="O923">
            <v>404844361.93872333</v>
          </cell>
          <cell r="P923">
            <v>3350130033.6959848</v>
          </cell>
        </row>
        <row r="927">
          <cell r="D927">
            <v>2021</v>
          </cell>
          <cell r="E927" t="str">
            <v>%</v>
          </cell>
        </row>
        <row r="928">
          <cell r="C928" t="str">
            <v>H1</v>
          </cell>
          <cell r="D928">
            <v>1509923304.7679093</v>
          </cell>
          <cell r="E928">
            <v>0.4507058799452352</v>
          </cell>
        </row>
        <row r="929">
          <cell r="C929" t="str">
            <v>H2</v>
          </cell>
          <cell r="D929">
            <v>1840206728.9280756</v>
          </cell>
          <cell r="E929">
            <v>0.54929412005476486</v>
          </cell>
        </row>
        <row r="930">
          <cell r="C930" t="str">
            <v xml:space="preserve">Total </v>
          </cell>
          <cell r="D930">
            <v>3350130033.6959848</v>
          </cell>
          <cell r="E930">
            <v>1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s Euro"/>
      <sheetName val="Projects USD"/>
      <sheetName val="Projects EGP"/>
      <sheetName val="Projects Consolidation"/>
      <sheetName val="Rate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ex"/>
      <sheetName val="Actual Y25"/>
      <sheetName val="Budget Y25"/>
    </sheetNames>
    <sheetDataSet>
      <sheetData sheetId="0" refreshError="1"/>
      <sheetData sheetId="1">
        <row r="1">
          <cell r="A1" t="str">
            <v>PO #</v>
          </cell>
          <cell r="B1" t="str">
            <v>Amount in EGP Including Customs</v>
          </cell>
          <cell r="C1" t="str">
            <v>Project</v>
          </cell>
          <cell r="D1" t="str">
            <v>Orange Codes</v>
          </cell>
          <cell r="E1" t="str">
            <v>Month</v>
          </cell>
          <cell r="F1" t="str">
            <v>Full Code</v>
          </cell>
          <cell r="G1" t="str">
            <v>Project</v>
          </cell>
          <cell r="H1" t="str">
            <v>Sub Account</v>
          </cell>
          <cell r="I1" t="str">
            <v>Full Project</v>
          </cell>
          <cell r="J1" t="str">
            <v>Department</v>
          </cell>
          <cell r="K1" t="str">
            <v>Type</v>
          </cell>
          <cell r="L1" t="str">
            <v>Sub Division</v>
          </cell>
          <cell r="M1" t="str">
            <v>Original Currency</v>
          </cell>
          <cell r="N1" t="str">
            <v>Month Rate</v>
          </cell>
          <cell r="O1" t="str">
            <v>Original Amount</v>
          </cell>
          <cell r="P1" t="str">
            <v>Division</v>
          </cell>
          <cell r="Q1" t="str">
            <v>**</v>
          </cell>
          <cell r="R1" t="str">
            <v xml:space="preserve">Description </v>
          </cell>
        </row>
        <row r="2">
          <cell r="A2">
            <v>61110</v>
          </cell>
          <cell r="B2">
            <v>143989.56</v>
          </cell>
          <cell r="C2" t="str">
            <v>DG1</v>
          </cell>
          <cell r="D2">
            <v>4700</v>
          </cell>
          <cell r="E2" t="str">
            <v xml:space="preserve">Jan </v>
          </cell>
          <cell r="F2" t="str">
            <v>1.345.121212.TRD.DG1</v>
          </cell>
          <cell r="G2" t="str">
            <v>DG1</v>
          </cell>
          <cell r="H2" t="str">
            <v>TRD</v>
          </cell>
          <cell r="I2" t="str">
            <v>DG1 - TRD</v>
          </cell>
          <cell r="J2" t="str">
            <v>Digital</v>
          </cell>
          <cell r="K2" t="str">
            <v>Addition</v>
          </cell>
          <cell r="L2" t="str">
            <v>Digital</v>
          </cell>
          <cell r="M2" t="str">
            <v>EGP</v>
          </cell>
          <cell r="N2">
            <v>1</v>
          </cell>
          <cell r="O2">
            <v>143989.56</v>
          </cell>
          <cell r="P2" t="str">
            <v>Digital</v>
          </cell>
          <cell r="Q2" t="b">
            <v>1</v>
          </cell>
          <cell r="R2" t="str">
            <v>DATALAKE RETIRING _ AGGREGATE LAYER - 2024</v>
          </cell>
        </row>
        <row r="3">
          <cell r="A3">
            <v>61574</v>
          </cell>
          <cell r="B3">
            <v>30669268.919999998</v>
          </cell>
          <cell r="C3" t="str">
            <v>DG1</v>
          </cell>
          <cell r="D3">
            <v>4700</v>
          </cell>
          <cell r="E3" t="str">
            <v xml:space="preserve">Jan </v>
          </cell>
          <cell r="F3" t="str">
            <v>1.345.121212.TRD.DG1</v>
          </cell>
          <cell r="G3" t="str">
            <v>DG1</v>
          </cell>
          <cell r="H3" t="str">
            <v>TRD</v>
          </cell>
          <cell r="I3" t="str">
            <v>DG1 - TRD</v>
          </cell>
          <cell r="J3" t="str">
            <v>Digital</v>
          </cell>
          <cell r="K3" t="str">
            <v>Addition</v>
          </cell>
          <cell r="L3" t="str">
            <v>Digital</v>
          </cell>
          <cell r="M3" t="str">
            <v>EUR</v>
          </cell>
          <cell r="N3">
            <v>53.14</v>
          </cell>
          <cell r="O3">
            <v>577140.92811441468</v>
          </cell>
          <cell r="P3" t="str">
            <v>Digital</v>
          </cell>
          <cell r="Q3" t="b">
            <v>1</v>
          </cell>
          <cell r="R3" t="str">
            <v>DATA LAKE HW - STORAGE AND SWITCHS - 2024</v>
          </cell>
        </row>
        <row r="4">
          <cell r="A4">
            <v>62606</v>
          </cell>
          <cell r="B4">
            <v>399446</v>
          </cell>
          <cell r="C4" t="str">
            <v>DG1</v>
          </cell>
          <cell r="D4">
            <v>4700</v>
          </cell>
          <cell r="E4" t="str">
            <v>Mar</v>
          </cell>
          <cell r="F4" t="str">
            <v>1.345.121212.TRD.DG1</v>
          </cell>
          <cell r="G4" t="str">
            <v>DG1</v>
          </cell>
          <cell r="H4" t="str">
            <v>TRD</v>
          </cell>
          <cell r="I4" t="str">
            <v>DG1 - TRD</v>
          </cell>
          <cell r="J4" t="str">
            <v>Digital</v>
          </cell>
          <cell r="K4" t="str">
            <v>Addition</v>
          </cell>
          <cell r="L4" t="str">
            <v>Digital</v>
          </cell>
          <cell r="M4" t="str">
            <v>EGP</v>
          </cell>
          <cell r="N4">
            <v>1</v>
          </cell>
          <cell r="O4">
            <v>399446</v>
          </cell>
          <cell r="P4" t="str">
            <v>Digital</v>
          </cell>
          <cell r="R4" t="str">
            <v>DATA HW - 2025</v>
          </cell>
        </row>
        <row r="5">
          <cell r="A5">
            <v>61639</v>
          </cell>
          <cell r="B5">
            <v>1075002.1499999999</v>
          </cell>
          <cell r="C5" t="str">
            <v>DG1</v>
          </cell>
          <cell r="D5">
            <v>4700</v>
          </cell>
          <cell r="E5" t="str">
            <v>Apr</v>
          </cell>
          <cell r="F5" t="str">
            <v>1.345.121212.TRD.DG1</v>
          </cell>
          <cell r="G5" t="str">
            <v>DG1</v>
          </cell>
          <cell r="H5" t="str">
            <v>TRD</v>
          </cell>
          <cell r="I5" t="str">
            <v>DG1 - TRD</v>
          </cell>
          <cell r="J5" t="str">
            <v>Digital</v>
          </cell>
          <cell r="K5" t="str">
            <v>Addition</v>
          </cell>
          <cell r="L5" t="str">
            <v>Digital</v>
          </cell>
          <cell r="M5" t="str">
            <v>EGP</v>
          </cell>
          <cell r="N5">
            <v>1</v>
          </cell>
          <cell r="O5">
            <v>1075002.1499999999</v>
          </cell>
          <cell r="P5" t="str">
            <v>Digital</v>
          </cell>
          <cell r="R5" t="str">
            <v>DATALAKE RETIRING _ TOOLING IMPLEMENTATION (6 MONTHS) - 2024 (AMEND)</v>
          </cell>
        </row>
        <row r="6">
          <cell r="A6">
            <v>61612</v>
          </cell>
          <cell r="B6">
            <v>14371322.229999999</v>
          </cell>
          <cell r="C6" t="str">
            <v>DG1</v>
          </cell>
          <cell r="D6">
            <v>4700</v>
          </cell>
          <cell r="E6" t="str">
            <v>Apr</v>
          </cell>
          <cell r="F6" t="str">
            <v>1.345.121212.TRD.DG1</v>
          </cell>
          <cell r="G6" t="str">
            <v>DG1</v>
          </cell>
          <cell r="H6" t="str">
            <v>TRD</v>
          </cell>
          <cell r="I6" t="str">
            <v>DG1 - TRD</v>
          </cell>
          <cell r="J6" t="str">
            <v>Digital</v>
          </cell>
          <cell r="K6" t="str">
            <v>Addition</v>
          </cell>
          <cell r="L6" t="str">
            <v>Digital</v>
          </cell>
          <cell r="M6" t="str">
            <v>USD</v>
          </cell>
          <cell r="N6">
            <v>51</v>
          </cell>
          <cell r="O6">
            <v>281790.63196078426</v>
          </cell>
          <cell r="P6" t="str">
            <v>Digital</v>
          </cell>
          <cell r="R6" t="str">
            <v>DATA LAKE HW SERVERS - 2024</v>
          </cell>
        </row>
        <row r="7">
          <cell r="A7">
            <v>61110</v>
          </cell>
          <cell r="B7">
            <v>43191.72</v>
          </cell>
          <cell r="C7" t="str">
            <v>DG1</v>
          </cell>
          <cell r="D7">
            <v>4700</v>
          </cell>
          <cell r="E7" t="str">
            <v>May</v>
          </cell>
          <cell r="F7" t="str">
            <v>1.345.121212.TRD.DG1</v>
          </cell>
          <cell r="G7" t="str">
            <v>DG1</v>
          </cell>
          <cell r="H7" t="str">
            <v>TRD</v>
          </cell>
          <cell r="I7" t="str">
            <v>DG1 - TRD</v>
          </cell>
          <cell r="J7" t="str">
            <v>Digital</v>
          </cell>
          <cell r="K7" t="str">
            <v>Addition</v>
          </cell>
          <cell r="L7" t="str">
            <v>Digital</v>
          </cell>
          <cell r="M7" t="str">
            <v>EGP</v>
          </cell>
          <cell r="N7">
            <v>1</v>
          </cell>
          <cell r="O7">
            <v>43191.72</v>
          </cell>
          <cell r="P7" t="str">
            <v>Digital</v>
          </cell>
          <cell r="R7" t="str">
            <v>DATALAKE RETIRING _ AGGREGATE LAYER - 2024</v>
          </cell>
        </row>
        <row r="8">
          <cell r="A8">
            <v>61639</v>
          </cell>
          <cell r="B8">
            <v>2150004.2999999998</v>
          </cell>
          <cell r="C8" t="str">
            <v>DG1</v>
          </cell>
          <cell r="D8">
            <v>4700</v>
          </cell>
          <cell r="E8" t="str">
            <v>May</v>
          </cell>
          <cell r="F8" t="str">
            <v>1.345.121212.TRD.DG1</v>
          </cell>
          <cell r="G8" t="str">
            <v>DG1</v>
          </cell>
          <cell r="H8" t="str">
            <v>TRD</v>
          </cell>
          <cell r="I8" t="str">
            <v>DG1 - TRD</v>
          </cell>
          <cell r="J8" t="str">
            <v>Digital</v>
          </cell>
          <cell r="K8" t="str">
            <v>Addition</v>
          </cell>
          <cell r="L8" t="str">
            <v>Digital</v>
          </cell>
          <cell r="M8" t="str">
            <v>EGP</v>
          </cell>
          <cell r="N8">
            <v>1</v>
          </cell>
          <cell r="O8">
            <v>2150004.2999999998</v>
          </cell>
          <cell r="P8" t="str">
            <v>Digital</v>
          </cell>
          <cell r="R8" t="str">
            <v>DATALAKE RETIRING _ TOOLING IMPLEMENTATION (6 MONTHS) - 2024 (AMEND)</v>
          </cell>
        </row>
        <row r="9">
          <cell r="A9">
            <v>63600</v>
          </cell>
          <cell r="B9">
            <v>150500</v>
          </cell>
          <cell r="C9" t="str">
            <v>DG1</v>
          </cell>
          <cell r="D9">
            <v>4700</v>
          </cell>
          <cell r="E9" t="str">
            <v>July</v>
          </cell>
          <cell r="F9" t="str">
            <v>1.345.121212.TRD.DG1</v>
          </cell>
          <cell r="R9" t="str">
            <v>DAILY TRENDS DASHBOARD-2025</v>
          </cell>
        </row>
        <row r="10">
          <cell r="A10">
            <v>61991</v>
          </cell>
          <cell r="B10">
            <v>1170000</v>
          </cell>
          <cell r="C10" t="str">
            <v>DG1</v>
          </cell>
          <cell r="D10">
            <v>4700</v>
          </cell>
          <cell r="E10" t="str">
            <v xml:space="preserve">Jan </v>
          </cell>
          <cell r="F10" t="str">
            <v>1.345.121212.TRD.DG1</v>
          </cell>
          <cell r="R10" t="str">
            <v>PE - VOUCHER ENHANCEMENTS SERVICES - 2024</v>
          </cell>
        </row>
        <row r="11">
          <cell r="A11">
            <v>62775</v>
          </cell>
          <cell r="B11">
            <v>1300000</v>
          </cell>
          <cell r="C11" t="str">
            <v>DG1</v>
          </cell>
          <cell r="D11">
            <v>4700</v>
          </cell>
          <cell r="E11" t="str">
            <v>Mar</v>
          </cell>
          <cell r="F11" t="str">
            <v>1.345.121212.TRD.DG1</v>
          </cell>
          <cell r="R11" t="str">
            <v>PROMO ENGINE SUPPORT FROM 01-JAN-25 TO 31-DEC-25</v>
          </cell>
        </row>
        <row r="12">
          <cell r="A12">
            <v>60080</v>
          </cell>
          <cell r="B12">
            <v>1950000</v>
          </cell>
          <cell r="C12" t="str">
            <v>DG1</v>
          </cell>
          <cell r="D12">
            <v>4700</v>
          </cell>
          <cell r="E12" t="str">
            <v>Mar</v>
          </cell>
          <cell r="F12" t="str">
            <v>1.345.121212.TRD.DG1</v>
          </cell>
          <cell r="R12" t="str">
            <v>MIGRATING ALL PIPELINES TO DL, ENGINEERING IMPLEMENTATION AND OPERATION 2023</v>
          </cell>
        </row>
        <row r="13">
          <cell r="A13">
            <v>60080</v>
          </cell>
          <cell r="B13">
            <v>975000</v>
          </cell>
          <cell r="C13" t="str">
            <v>DG1</v>
          </cell>
          <cell r="D13">
            <v>4700</v>
          </cell>
          <cell r="E13" t="str">
            <v>Apr</v>
          </cell>
          <cell r="F13" t="str">
            <v>1.345.121212.TRD.DG1</v>
          </cell>
          <cell r="R13" t="str">
            <v>MIGRATING ALL PIPELINES TO DL, ENGINEERING IMPLEMENTATION AND OPERATION 2023</v>
          </cell>
        </row>
        <row r="14">
          <cell r="A14">
            <v>63600</v>
          </cell>
          <cell r="B14">
            <v>150500</v>
          </cell>
          <cell r="C14" t="str">
            <v>DG1</v>
          </cell>
          <cell r="D14">
            <v>4700</v>
          </cell>
          <cell r="E14" t="str">
            <v>July</v>
          </cell>
          <cell r="F14" t="str">
            <v>1.345.121212.TRD.DG1</v>
          </cell>
          <cell r="R14" t="str">
            <v>DAILY TRENDS DASHBOARD-2025</v>
          </cell>
        </row>
        <row r="15">
          <cell r="A15">
            <v>63570</v>
          </cell>
          <cell r="B15">
            <v>1300000</v>
          </cell>
          <cell r="C15" t="str">
            <v>DG1</v>
          </cell>
          <cell r="D15">
            <v>4700</v>
          </cell>
          <cell r="E15" t="str">
            <v>July</v>
          </cell>
          <cell r="F15" t="str">
            <v>1.345.121212.TRD.DG1</v>
          </cell>
          <cell r="R15" t="str">
            <v>PE SERVICES FOR GVM AND UPSELLING LAYER-2025</v>
          </cell>
        </row>
        <row r="20">
          <cell r="B20" t="str">
            <v>Sum of Amount in EGP Including Customs</v>
          </cell>
          <cell r="C20" t="str">
            <v>Column Labels</v>
          </cell>
        </row>
        <row r="21">
          <cell r="B21" t="str">
            <v>Row Labels</v>
          </cell>
          <cell r="C21" t="str">
            <v xml:space="preserve">Jan </v>
          </cell>
          <cell r="D21" t="str">
            <v>Mar</v>
          </cell>
          <cell r="E21" t="str">
            <v>Apr</v>
          </cell>
          <cell r="F21" t="str">
            <v>May</v>
          </cell>
          <cell r="G21" t="str">
            <v>July</v>
          </cell>
          <cell r="H21" t="str">
            <v>Grand Total</v>
          </cell>
        </row>
        <row r="22">
          <cell r="B22" t="str">
            <v>DG1</v>
          </cell>
          <cell r="C22">
            <v>31983258.479999997</v>
          </cell>
          <cell r="D22">
            <v>3649446</v>
          </cell>
          <cell r="E22">
            <v>16421324.379999999</v>
          </cell>
          <cell r="F22">
            <v>2193196.02</v>
          </cell>
          <cell r="G22">
            <v>1601000</v>
          </cell>
          <cell r="H22">
            <v>55848224.880000003</v>
          </cell>
        </row>
        <row r="23">
          <cell r="B23" t="str">
            <v>Grand Total</v>
          </cell>
          <cell r="C23">
            <v>31983258.479999997</v>
          </cell>
          <cell r="D23">
            <v>3649446</v>
          </cell>
          <cell r="E23">
            <v>16421324.379999999</v>
          </cell>
          <cell r="F23">
            <v>2193196.02</v>
          </cell>
          <cell r="G23">
            <v>1601000</v>
          </cell>
          <cell r="H23">
            <v>55848224.880000003</v>
          </cell>
        </row>
      </sheetData>
      <sheetData sheetId="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 xml:space="preserve">PO </v>
          </cell>
        </row>
        <row r="2">
          <cell r="B2">
            <v>60875</v>
          </cell>
        </row>
        <row r="3">
          <cell r="B3">
            <v>62107</v>
          </cell>
        </row>
        <row r="4">
          <cell r="B4">
            <v>62419</v>
          </cell>
        </row>
        <row r="5">
          <cell r="B5">
            <v>62639</v>
          </cell>
        </row>
        <row r="6">
          <cell r="B6">
            <v>62312</v>
          </cell>
        </row>
        <row r="7">
          <cell r="B7">
            <v>62417</v>
          </cell>
        </row>
        <row r="8">
          <cell r="B8">
            <v>63459</v>
          </cell>
        </row>
        <row r="9">
          <cell r="B9">
            <v>63102</v>
          </cell>
        </row>
        <row r="10">
          <cell r="B10">
            <v>63902</v>
          </cell>
        </row>
        <row r="11">
          <cell r="B11">
            <v>63723</v>
          </cell>
        </row>
        <row r="12">
          <cell r="B12">
            <v>63675</v>
          </cell>
        </row>
        <row r="13">
          <cell r="B13">
            <v>63657</v>
          </cell>
        </row>
        <row r="14">
          <cell r="B14">
            <v>63651</v>
          </cell>
        </row>
        <row r="15">
          <cell r="B15">
            <v>63414</v>
          </cell>
        </row>
        <row r="16">
          <cell r="B16">
            <v>63182</v>
          </cell>
        </row>
        <row r="17">
          <cell r="B17">
            <v>63203</v>
          </cell>
        </row>
        <row r="18">
          <cell r="B18">
            <v>62657</v>
          </cell>
        </row>
        <row r="19">
          <cell r="B19">
            <v>62496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 Ayman Marei" refreshedDate="45887.493668750001" createdVersion="6" refreshedVersion="6" minRefreshableVersion="3" recordCount="38" xr:uid="{00000000-000A-0000-FFFF-FFFF05000000}">
  <cacheSource type="worksheet">
    <worksheetSource ref="A1:F39" sheet="PO's"/>
  </cacheSource>
  <cacheFields count="6">
    <cacheField name="PO #" numFmtId="0">
      <sharedItems containsSemiMixedTypes="0" containsString="0" containsNumber="1" containsInteger="1" minValue="54586" maxValue="63600" count="27">
        <n v="61110"/>
        <n v="61991"/>
        <n v="61574"/>
        <n v="60705"/>
        <n v="62107"/>
        <n v="62590"/>
        <n v="60875"/>
        <n v="58021"/>
        <n v="62686"/>
        <n v="62606"/>
        <n v="62312"/>
        <n v="62605"/>
        <n v="62775"/>
        <n v="60080"/>
        <n v="62419"/>
        <n v="58382"/>
        <n v="62273"/>
        <n v="61639"/>
        <n v="61612"/>
        <n v="55569"/>
        <n v="54586"/>
        <n v="62639"/>
        <n v="62417"/>
        <n v="63414"/>
        <n v="63600"/>
        <n v="63459"/>
        <n v="63570"/>
      </sharedItems>
    </cacheField>
    <cacheField name="Amount in EGP Including Customs" numFmtId="0">
      <sharedItems containsSemiMixedTypes="0" containsString="0" containsNumber="1" minValue="-32697.999999998206" maxValue="30669268.919999998"/>
    </cacheField>
    <cacheField name="Project" numFmtId="0">
      <sharedItems/>
    </cacheField>
    <cacheField name="Orange Codes" numFmtId="0">
      <sharedItems containsSemiMixedTypes="0" containsString="0" containsNumber="1" containsInteger="1" minValue="4700" maxValue="4700"/>
    </cacheField>
    <cacheField name="Month" numFmtId="0">
      <sharedItems count="7">
        <s v="Jan "/>
        <s v="Feb"/>
        <s v="Mar"/>
        <s v="Apr"/>
        <s v="May"/>
        <s v="June"/>
        <s v="July"/>
      </sharedItems>
    </cacheField>
    <cacheField name="Full Cod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n v="143989.56"/>
    <s v="DG1"/>
    <n v="4700"/>
    <x v="0"/>
    <s v="1.345.121212.TRD.DG1"/>
  </r>
  <r>
    <x v="1"/>
    <n v="1170000"/>
    <s v="DG1"/>
    <n v="4700"/>
    <x v="0"/>
    <s v="1.345.121212.TRD.DG1"/>
  </r>
  <r>
    <x v="2"/>
    <n v="30669268.919999998"/>
    <s v="DG1"/>
    <n v="4700"/>
    <x v="0"/>
    <s v="1.345.121212.TRD.DG1"/>
  </r>
  <r>
    <x v="3"/>
    <n v="125310"/>
    <s v="DG1"/>
    <n v="4700"/>
    <x v="1"/>
    <s v="1.423.121212.000.DG1"/>
  </r>
  <r>
    <x v="4"/>
    <n v="317149.86000000004"/>
    <s v="DG1"/>
    <n v="4700"/>
    <x v="1"/>
    <s v="1.345.121212.TRD.DG1"/>
  </r>
  <r>
    <x v="5"/>
    <n v="503403.97000000003"/>
    <s v="DG1"/>
    <n v="4700"/>
    <x v="1"/>
    <s v="1.345.121212.TRD.DG1"/>
  </r>
  <r>
    <x v="6"/>
    <n v="1068755.73"/>
    <s v="DG1"/>
    <n v="4700"/>
    <x v="1"/>
    <s v="1.345.121212.TRD.DG1"/>
  </r>
  <r>
    <x v="7"/>
    <n v="15285"/>
    <s v="DG1"/>
    <n v="4700"/>
    <x v="2"/>
    <s v="1.345.121212.TRD.DG1"/>
  </r>
  <r>
    <x v="8"/>
    <n v="17006.5"/>
    <s v="DG1"/>
    <n v="4700"/>
    <x v="2"/>
    <s v="1.345.121212.TRD.DG1"/>
  </r>
  <r>
    <x v="9"/>
    <n v="399446"/>
    <s v="DG1"/>
    <n v="4700"/>
    <x v="2"/>
    <s v="1.345.121212.TRD.DG1"/>
  </r>
  <r>
    <x v="10"/>
    <n v="698556"/>
    <s v="DG1"/>
    <n v="4700"/>
    <x v="2"/>
    <s v="1.345.121212.TRD.DG1"/>
  </r>
  <r>
    <x v="11"/>
    <n v="860370"/>
    <s v="DG1"/>
    <n v="4700"/>
    <x v="2"/>
    <s v="1.345.121212.TRD.DG1"/>
  </r>
  <r>
    <x v="12"/>
    <n v="1300000"/>
    <s v="DG1"/>
    <n v="4700"/>
    <x v="2"/>
    <s v="1.345.121212.TRD.DG1"/>
  </r>
  <r>
    <x v="13"/>
    <n v="1950000"/>
    <s v="DG1"/>
    <n v="4700"/>
    <x v="2"/>
    <s v="1.345.121212.TRD.DG1"/>
  </r>
  <r>
    <x v="14"/>
    <n v="4783590"/>
    <s v="DG1"/>
    <n v="4700"/>
    <x v="2"/>
    <s v="1.345.121212.TRD.DG1"/>
  </r>
  <r>
    <x v="15"/>
    <n v="88455"/>
    <s v="DG1"/>
    <n v="4700"/>
    <x v="3"/>
    <s v="1.345.121212.TRD.DG1"/>
  </r>
  <r>
    <x v="16"/>
    <n v="145350"/>
    <s v="DG1"/>
    <n v="4700"/>
    <x v="3"/>
    <s v="1.423.121212.000.DG1"/>
  </r>
  <r>
    <x v="4"/>
    <n v="242549.26000000004"/>
    <s v="DG1"/>
    <n v="4700"/>
    <x v="3"/>
    <s v="1.345.121212.TRD.DG1"/>
  </r>
  <r>
    <x v="6"/>
    <n v="600196.58000000007"/>
    <s v="DG1"/>
    <n v="4700"/>
    <x v="3"/>
    <s v="1.345.121212.TRD.DG1"/>
  </r>
  <r>
    <x v="13"/>
    <n v="975000"/>
    <s v="DG1"/>
    <n v="4700"/>
    <x v="3"/>
    <s v="1.345.121212.TRD.DG1"/>
  </r>
  <r>
    <x v="17"/>
    <n v="1075002.1499999999"/>
    <s v="DG1"/>
    <n v="4700"/>
    <x v="3"/>
    <s v="1.345.121212.TRD.DG1"/>
  </r>
  <r>
    <x v="18"/>
    <n v="14371322.229999999"/>
    <s v="DG1"/>
    <n v="4700"/>
    <x v="3"/>
    <s v="1.345.121212.TRD.DG1"/>
  </r>
  <r>
    <x v="19"/>
    <n v="-32697.999999998206"/>
    <s v="DG1"/>
    <n v="4700"/>
    <x v="4"/>
    <s v="1.345.121212.TRD.DG1"/>
  </r>
  <r>
    <x v="20"/>
    <n v="-18750"/>
    <s v="DG1"/>
    <n v="4700"/>
    <x v="4"/>
    <s v="1.345.121212.TRD.DG1"/>
  </r>
  <r>
    <x v="0"/>
    <n v="43191.72"/>
    <s v="DG1"/>
    <n v="4700"/>
    <x v="4"/>
    <s v="1.345.121212.TRD.DG1"/>
  </r>
  <r>
    <x v="4"/>
    <n v="260034.62"/>
    <s v="DG1"/>
    <n v="4700"/>
    <x v="4"/>
    <s v="1.345.121212.TRD.DG1"/>
  </r>
  <r>
    <x v="21"/>
    <n v="388470.74000000005"/>
    <s v="DG1"/>
    <n v="4700"/>
    <x v="4"/>
    <s v="1.345.121212.TRD.DG1"/>
  </r>
  <r>
    <x v="6"/>
    <n v="670655.65999999992"/>
    <s v="DG1"/>
    <n v="4700"/>
    <x v="4"/>
    <s v="1.345.121212.TRD.DG1"/>
  </r>
  <r>
    <x v="17"/>
    <n v="2150004.2999999998"/>
    <s v="DG1"/>
    <n v="4700"/>
    <x v="4"/>
    <s v="1.345.121212.TRD.DG1"/>
  </r>
  <r>
    <x v="22"/>
    <n v="179438.46"/>
    <s v="DG1"/>
    <n v="4700"/>
    <x v="5"/>
    <s v="1.345.121212.TRD.DG1"/>
  </r>
  <r>
    <x v="10"/>
    <n v="259267.5"/>
    <s v="DG1"/>
    <n v="4700"/>
    <x v="5"/>
    <s v="1.345.121212.TRD.DG1"/>
  </r>
  <r>
    <x v="23"/>
    <n v="439473.69000000006"/>
    <s v="DG1"/>
    <n v="4700"/>
    <x v="5"/>
    <s v="1.423.121212.000.DG1"/>
  </r>
  <r>
    <x v="10"/>
    <n v="-776.25"/>
    <s v="DG1"/>
    <n v="4700"/>
    <x v="6"/>
    <s v="1.345.121212.TRD.DG1"/>
  </r>
  <r>
    <x v="6"/>
    <n v="37631.430000000008"/>
    <s v="DG1"/>
    <n v="4700"/>
    <x v="6"/>
    <s v="1.345.121212.TRD.DG1"/>
  </r>
  <r>
    <x v="24"/>
    <n v="150500"/>
    <s v="DG1"/>
    <n v="4700"/>
    <x v="6"/>
    <s v="1.345.121212.TRD.DG1"/>
  </r>
  <r>
    <x v="4"/>
    <n v="277831.87"/>
    <s v="DG1"/>
    <n v="4700"/>
    <x v="6"/>
    <s v="1.345.121212.TRD.DG1"/>
  </r>
  <r>
    <x v="25"/>
    <n v="539092.31000000006"/>
    <s v="DG1"/>
    <n v="4700"/>
    <x v="6"/>
    <s v="1.423.121212.000.DG1"/>
  </r>
  <r>
    <x v="26"/>
    <n v="1300000"/>
    <s v="DG1"/>
    <n v="4700"/>
    <x v="6"/>
    <s v="1.345.121212.TRD.DG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32" firstHeaderRow="1" firstDataRow="2" firstDataCol="1"/>
  <pivotFields count="6">
    <pivotField axis="axisRow" showAll="0">
      <items count="28">
        <item x="20"/>
        <item x="19"/>
        <item x="7"/>
        <item x="15"/>
        <item x="13"/>
        <item x="3"/>
        <item x="6"/>
        <item x="0"/>
        <item x="2"/>
        <item x="18"/>
        <item x="17"/>
        <item x="1"/>
        <item x="4"/>
        <item x="16"/>
        <item x="10"/>
        <item x="22"/>
        <item x="14"/>
        <item x="5"/>
        <item x="11"/>
        <item x="9"/>
        <item x="21"/>
        <item x="8"/>
        <item x="12"/>
        <item x="23"/>
        <item x="25"/>
        <item x="26"/>
        <item x="24"/>
        <item t="default"/>
      </items>
    </pivotField>
    <pivotField dataField="1" showAll="0"/>
    <pivotField showAll="0"/>
    <pivotField showAll="0"/>
    <pivotField axis="axisCol" showAll="0">
      <items count="8">
        <item x="5"/>
        <item x="6"/>
        <item x="1"/>
        <item x="2"/>
        <item x="3"/>
        <item x="4"/>
        <item x="0"/>
        <item t="default"/>
      </items>
    </pivotField>
    <pivotField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 in EGP Including Customs" fld="1" baseField="0" baseItem="0" numFmtId="164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rgb="FFFF0000"/>
  </sheetPr>
  <dimension ref="A2:Q51"/>
  <sheetViews>
    <sheetView showGridLines="0" zoomScale="80" zoomScaleNormal="80" zoomScaleSheetLayoutView="66" workbookViewId="0">
      <pane xSplit="3" ySplit="4" topLeftCell="L5" activePane="bottomRight" state="frozen"/>
      <selection sqref="A1:IV65536"/>
      <selection pane="topRight" sqref="A1:IV65536"/>
      <selection pane="bottomLeft" sqref="A1:IV65536"/>
      <selection pane="bottomRight" activeCell="B5" sqref="B5:P10"/>
    </sheetView>
  </sheetViews>
  <sheetFormatPr defaultColWidth="9.08984375" defaultRowHeight="13" outlineLevelRow="1"/>
  <cols>
    <col min="1" max="1" width="9.36328125" style="17" customWidth="1"/>
    <col min="2" max="2" width="10.90625" style="17" customWidth="1"/>
    <col min="3" max="3" width="41.36328125" style="20" customWidth="1"/>
    <col min="4" max="7" width="15" style="41" customWidth="1"/>
    <col min="8" max="15" width="16.08984375" style="9" customWidth="1"/>
    <col min="16" max="16" width="19.6328125" style="10" customWidth="1"/>
    <col min="17" max="17" width="4.90625" style="15" customWidth="1"/>
    <col min="18" max="18" width="21" style="11" customWidth="1"/>
    <col min="19" max="19" width="14" style="11" customWidth="1"/>
    <col min="20" max="20" width="17.6328125" style="11" customWidth="1"/>
    <col min="21" max="21" width="11.6328125" style="11" bestFit="1" customWidth="1"/>
    <col min="22" max="22" width="9.08984375" style="11"/>
    <col min="23" max="23" width="12.6328125" style="11" bestFit="1" customWidth="1"/>
    <col min="24" max="16384" width="9.08984375" style="11"/>
  </cols>
  <sheetData>
    <row r="2" spans="1:17" ht="13.5" thickBot="1"/>
    <row r="3" spans="1:17" s="69" customFormat="1">
      <c r="A3" s="53" t="s">
        <v>10</v>
      </c>
      <c r="B3" s="55" t="s">
        <v>11</v>
      </c>
      <c r="C3" s="57" t="s">
        <v>12</v>
      </c>
      <c r="D3" s="65">
        <v>45658</v>
      </c>
      <c r="E3" s="212">
        <v>45689</v>
      </c>
      <c r="F3" s="206">
        <v>45717</v>
      </c>
      <c r="G3" s="212">
        <v>45748</v>
      </c>
      <c r="H3" s="206">
        <v>45778</v>
      </c>
      <c r="I3" s="212">
        <v>45809</v>
      </c>
      <c r="J3" s="206">
        <v>45839</v>
      </c>
      <c r="K3" s="212">
        <v>45870</v>
      </c>
      <c r="L3" s="206">
        <v>45901</v>
      </c>
      <c r="M3" s="212">
        <v>45931</v>
      </c>
      <c r="N3" s="206">
        <v>45962</v>
      </c>
      <c r="O3" s="212">
        <v>45992</v>
      </c>
      <c r="P3" s="210" t="s">
        <v>0</v>
      </c>
      <c r="Q3" s="68" t="s">
        <v>18</v>
      </c>
    </row>
    <row r="4" spans="1:17" s="69" customFormat="1" ht="13.5" thickBot="1">
      <c r="A4" s="54"/>
      <c r="B4" s="56"/>
      <c r="C4" s="58"/>
      <c r="D4" s="42"/>
      <c r="E4" s="218"/>
      <c r="F4" s="217"/>
      <c r="G4" s="218"/>
      <c r="H4" s="200"/>
      <c r="I4" s="203"/>
      <c r="J4" s="200"/>
      <c r="K4" s="203"/>
      <c r="L4" s="200"/>
      <c r="M4" s="203"/>
      <c r="N4" s="200"/>
      <c r="O4" s="203"/>
      <c r="P4" s="211"/>
      <c r="Q4" s="68" t="s">
        <v>20</v>
      </c>
    </row>
    <row r="5" spans="1:17" outlineLevel="1">
      <c r="B5" s="27" t="s">
        <v>31</v>
      </c>
      <c r="C5" s="23" t="s">
        <v>118</v>
      </c>
      <c r="D5" s="198">
        <v>31983258.479999997</v>
      </c>
      <c r="E5" s="61"/>
      <c r="F5" s="61">
        <v>3649446</v>
      </c>
      <c r="G5" s="61">
        <v>16421324.379999999</v>
      </c>
      <c r="H5" s="10">
        <v>2193196.02</v>
      </c>
      <c r="I5" s="214"/>
      <c r="J5" s="10">
        <v>1601000</v>
      </c>
      <c r="K5" s="59"/>
      <c r="L5" s="199"/>
      <c r="M5" s="59"/>
      <c r="N5" s="199"/>
      <c r="O5" s="216"/>
      <c r="P5" s="60">
        <f t="shared" ref="P5" si="0">SUM(D5:O5)</f>
        <v>55848224.880000003</v>
      </c>
      <c r="Q5" s="62" t="s">
        <v>20</v>
      </c>
    </row>
    <row r="6" spans="1:17" outlineLevel="1">
      <c r="B6" s="27"/>
      <c r="C6" s="23"/>
      <c r="D6" s="198"/>
      <c r="E6" s="61"/>
      <c r="F6" s="61"/>
      <c r="G6" s="61"/>
      <c r="H6" s="10"/>
      <c r="I6" s="214"/>
      <c r="J6" s="10"/>
      <c r="K6" s="214"/>
      <c r="L6" s="10"/>
      <c r="M6" s="214"/>
      <c r="N6" s="10"/>
      <c r="O6" s="219"/>
      <c r="P6" s="60"/>
      <c r="Q6" s="62" t="s">
        <v>20</v>
      </c>
    </row>
    <row r="7" spans="1:17" outlineLevel="1">
      <c r="B7" s="27"/>
      <c r="C7" s="29"/>
      <c r="D7" s="198"/>
      <c r="E7" s="61"/>
      <c r="F7" s="61"/>
      <c r="G7" s="61"/>
      <c r="H7" s="204"/>
      <c r="I7" s="61"/>
      <c r="J7" s="208"/>
      <c r="K7" s="59"/>
      <c r="L7" s="199"/>
      <c r="M7" s="59"/>
      <c r="N7" s="199"/>
      <c r="O7" s="216"/>
      <c r="P7" s="60"/>
      <c r="Q7" s="62" t="s">
        <v>20</v>
      </c>
    </row>
    <row r="8" spans="1:17" outlineLevel="1">
      <c r="B8" s="27"/>
      <c r="C8" s="23"/>
      <c r="D8" s="198"/>
      <c r="E8" s="61"/>
      <c r="F8" s="61"/>
      <c r="G8" s="61"/>
      <c r="H8" s="204"/>
      <c r="I8" s="61"/>
      <c r="J8" s="208"/>
      <c r="K8" s="59"/>
      <c r="L8" s="199"/>
      <c r="M8" s="59"/>
      <c r="N8" s="199"/>
      <c r="O8" s="216"/>
      <c r="P8" s="60"/>
      <c r="Q8" s="62" t="s">
        <v>20</v>
      </c>
    </row>
    <row r="9" spans="1:17" ht="13.5" outlineLevel="1" thickBot="1">
      <c r="B9" s="27"/>
      <c r="C9" s="30"/>
      <c r="D9" s="198"/>
      <c r="E9" s="61"/>
      <c r="F9" s="61"/>
      <c r="G9" s="61"/>
      <c r="H9" s="204"/>
      <c r="I9" s="61"/>
      <c r="J9" s="208"/>
      <c r="K9" s="59"/>
      <c r="L9" s="199"/>
      <c r="M9" s="59"/>
      <c r="N9" s="199"/>
      <c r="O9" s="216"/>
      <c r="P9" s="60"/>
      <c r="Q9" s="62" t="s">
        <v>20</v>
      </c>
    </row>
    <row r="10" spans="1:17" ht="13.5" thickBot="1">
      <c r="A10" s="18"/>
      <c r="B10" s="19"/>
      <c r="C10" s="70" t="s">
        <v>13</v>
      </c>
      <c r="D10" s="47">
        <f>SUM(D5:D9)</f>
        <v>31983258.479999997</v>
      </c>
      <c r="E10" s="47">
        <f t="shared" ref="E10:O10" si="1">SUM(E5:E9)</f>
        <v>0</v>
      </c>
      <c r="F10" s="47">
        <f t="shared" si="1"/>
        <v>3649446</v>
      </c>
      <c r="G10" s="47">
        <f t="shared" si="1"/>
        <v>16421324.379999999</v>
      </c>
      <c r="H10" s="205">
        <f t="shared" si="1"/>
        <v>2193196.02</v>
      </c>
      <c r="I10" s="215">
        <f t="shared" si="1"/>
        <v>0</v>
      </c>
      <c r="J10" s="209">
        <f t="shared" si="1"/>
        <v>1601000</v>
      </c>
      <c r="K10" s="215">
        <f t="shared" si="1"/>
        <v>0</v>
      </c>
      <c r="L10" s="209">
        <f t="shared" si="1"/>
        <v>0</v>
      </c>
      <c r="M10" s="215">
        <f t="shared" si="1"/>
        <v>0</v>
      </c>
      <c r="N10" s="209">
        <f t="shared" si="1"/>
        <v>0</v>
      </c>
      <c r="O10" s="220">
        <f t="shared" si="1"/>
        <v>0</v>
      </c>
      <c r="P10" s="215">
        <f>SUM(P5:P9)</f>
        <v>55848224.880000003</v>
      </c>
      <c r="Q10" s="15" t="s">
        <v>19</v>
      </c>
    </row>
    <row r="11" spans="1:17">
      <c r="B11" s="20"/>
    </row>
    <row r="12" spans="1:17">
      <c r="B12" s="20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</row>
    <row r="13" spans="1:17" ht="14.5">
      <c r="B13" s="20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</row>
    <row r="14" spans="1:17">
      <c r="B14" s="20"/>
      <c r="H14" s="41"/>
      <c r="I14" s="41"/>
      <c r="J14" s="41"/>
      <c r="K14" s="41"/>
      <c r="L14" s="41"/>
      <c r="M14" s="41"/>
      <c r="N14" s="41"/>
      <c r="O14" s="41"/>
      <c r="P14" s="11"/>
    </row>
    <row r="15" spans="1:17">
      <c r="B15" s="2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7">
      <c r="B16" s="20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</row>
    <row r="17" spans="2:16">
      <c r="B17" s="20"/>
      <c r="H17" s="41"/>
      <c r="I17" s="41"/>
      <c r="J17" s="41"/>
      <c r="K17" s="41"/>
      <c r="L17" s="41"/>
      <c r="M17" s="41"/>
      <c r="N17" s="41"/>
      <c r="O17" s="41"/>
    </row>
    <row r="18" spans="2:16">
      <c r="B18" s="20"/>
      <c r="H18" s="41"/>
      <c r="I18" s="41"/>
      <c r="J18" s="41"/>
      <c r="K18" s="41"/>
      <c r="L18" s="41"/>
      <c r="M18" s="41"/>
      <c r="N18" s="41"/>
      <c r="O18" s="41"/>
    </row>
    <row r="19" spans="2:16">
      <c r="B19" s="20"/>
      <c r="H19" s="41"/>
      <c r="I19" s="41"/>
      <c r="J19" s="41"/>
      <c r="K19" s="41"/>
      <c r="L19" s="41"/>
      <c r="M19" s="41"/>
      <c r="N19" s="41"/>
      <c r="O19" s="41"/>
    </row>
    <row r="20" spans="2:16">
      <c r="B20" s="20"/>
      <c r="H20" s="41"/>
      <c r="I20" s="41"/>
      <c r="J20" s="41"/>
      <c r="K20" s="41"/>
      <c r="L20" s="41"/>
      <c r="M20" s="41"/>
      <c r="N20" s="41"/>
      <c r="O20" s="41"/>
    </row>
    <row r="21" spans="2:16">
      <c r="B21" s="20"/>
      <c r="H21" s="41"/>
      <c r="I21" s="41"/>
      <c r="J21" s="41"/>
      <c r="K21" s="41"/>
      <c r="L21" s="41"/>
      <c r="M21" s="41"/>
      <c r="N21" s="41"/>
      <c r="O21" s="41"/>
    </row>
    <row r="22" spans="2:16">
      <c r="B22" s="20"/>
      <c r="H22" s="41"/>
      <c r="I22" s="41"/>
      <c r="J22" s="41"/>
      <c r="K22" s="41"/>
      <c r="L22" s="41"/>
      <c r="M22" s="41"/>
      <c r="N22" s="41"/>
      <c r="O22" s="41"/>
    </row>
    <row r="23" spans="2:16" ht="14.5">
      <c r="B23" s="20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</row>
    <row r="24" spans="2:16" ht="14.5">
      <c r="B24" s="20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4"/>
    </row>
    <row r="25" spans="2:16">
      <c r="B25" s="20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8"/>
    </row>
    <row r="26" spans="2:16">
      <c r="B26" s="20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8"/>
    </row>
    <row r="27" spans="2:16">
      <c r="B27" s="20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8"/>
    </row>
    <row r="28" spans="2:16">
      <c r="B28" s="20"/>
      <c r="H28" s="41"/>
      <c r="I28" s="41"/>
      <c r="J28" s="41"/>
      <c r="K28" s="41"/>
      <c r="L28" s="41"/>
      <c r="M28" s="41"/>
      <c r="N28" s="41"/>
      <c r="O28" s="41"/>
      <c r="P28" s="168"/>
    </row>
    <row r="29" spans="2:16">
      <c r="B29" s="20"/>
      <c r="H29" s="41"/>
      <c r="I29" s="41"/>
      <c r="J29" s="41"/>
      <c r="K29" s="41"/>
      <c r="L29" s="41"/>
      <c r="M29" s="41"/>
      <c r="N29" s="41"/>
      <c r="O29" s="41"/>
    </row>
    <row r="30" spans="2:16">
      <c r="B30" s="20"/>
      <c r="O30" s="43"/>
      <c r="P30" s="26"/>
    </row>
    <row r="31" spans="2:16">
      <c r="B31" s="20"/>
      <c r="O31" s="28"/>
    </row>
    <row r="32" spans="2:16">
      <c r="B32" s="20"/>
      <c r="O32" s="43"/>
      <c r="P32" s="26"/>
    </row>
    <row r="33" spans="2:16">
      <c r="B33" s="20"/>
      <c r="O33" s="28"/>
    </row>
    <row r="34" spans="2:16">
      <c r="B34" s="20"/>
      <c r="O34" s="43"/>
      <c r="P34" s="26"/>
    </row>
    <row r="35" spans="2:16">
      <c r="B35" s="20"/>
    </row>
    <row r="36" spans="2:16">
      <c r="B36" s="20"/>
    </row>
    <row r="37" spans="2:16">
      <c r="B37" s="20"/>
    </row>
    <row r="38" spans="2:16">
      <c r="B38" s="20"/>
    </row>
    <row r="39" spans="2:16">
      <c r="B39" s="20"/>
    </row>
    <row r="40" spans="2:16">
      <c r="B40" s="20"/>
    </row>
    <row r="41" spans="2:16">
      <c r="B41" s="20"/>
    </row>
    <row r="42" spans="2:16">
      <c r="B42" s="20"/>
      <c r="D42" s="9"/>
      <c r="E42" s="9"/>
      <c r="F42" s="9"/>
      <c r="G42" s="9"/>
      <c r="P42" s="9"/>
    </row>
    <row r="43" spans="2:16">
      <c r="B43" s="20"/>
      <c r="H43" s="41"/>
      <c r="I43" s="41"/>
      <c r="J43" s="41"/>
      <c r="K43" s="41"/>
      <c r="L43" s="41"/>
      <c r="M43" s="41"/>
      <c r="N43" s="41"/>
      <c r="O43" s="41"/>
      <c r="P43" s="41"/>
    </row>
    <row r="44" spans="2:16">
      <c r="B44" s="20"/>
    </row>
    <row r="45" spans="2:16">
      <c r="B45" s="20"/>
    </row>
    <row r="46" spans="2:16">
      <c r="B46" s="20"/>
      <c r="H46" s="41"/>
      <c r="I46" s="41"/>
      <c r="J46" s="41"/>
      <c r="K46" s="41"/>
      <c r="L46" s="41"/>
      <c r="M46" s="41"/>
      <c r="N46" s="41"/>
      <c r="O46" s="41"/>
      <c r="P46" s="41"/>
    </row>
    <row r="47" spans="2:16">
      <c r="B47" s="20"/>
      <c r="H47" s="41"/>
      <c r="I47" s="41"/>
      <c r="J47" s="41"/>
      <c r="K47" s="41"/>
      <c r="L47" s="41"/>
      <c r="M47" s="41"/>
      <c r="N47" s="41"/>
      <c r="O47" s="41"/>
      <c r="P47" s="41"/>
    </row>
    <row r="48" spans="2:16">
      <c r="B48" s="20"/>
    </row>
    <row r="49" spans="2:2">
      <c r="B49" s="20"/>
    </row>
    <row r="50" spans="2:2">
      <c r="B50" s="20"/>
    </row>
    <row r="51" spans="2:2">
      <c r="B51" s="20"/>
    </row>
  </sheetData>
  <phoneticPr fontId="3" type="noConversion"/>
  <conditionalFormatting sqref="C3:C4">
    <cfRule type="duplicateValues" dxfId="14" priority="76" stopIfTrue="1"/>
  </conditionalFormatting>
  <conditionalFormatting sqref="C10">
    <cfRule type="duplicateValues" dxfId="13" priority="3" stopIfTrue="1"/>
  </conditionalFormatting>
  <conditionalFormatting sqref="C6:C9">
    <cfRule type="duplicateValues" dxfId="12" priority="2" stopIfTrue="1"/>
  </conditionalFormatting>
  <conditionalFormatting sqref="C5">
    <cfRule type="duplicateValues" dxfId="11" priority="1" stopIfTrue="1"/>
  </conditionalFormatting>
  <pageMargins left="0.42" right="0.41" top="0.42" bottom="0.42" header="0.17" footer="0.18"/>
  <pageSetup paperSize="9" scale="57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FF0000"/>
  </sheetPr>
  <dimension ref="A2:S33"/>
  <sheetViews>
    <sheetView showGridLines="0" zoomScale="80" zoomScaleNormal="80" zoomScaleSheetLayoutView="66" workbookViewId="0">
      <pane xSplit="3" ySplit="4" topLeftCell="D5" activePane="bottomRight" state="frozen"/>
      <selection sqref="A1:IV65536"/>
      <selection pane="topRight" sqref="A1:IV65536"/>
      <selection pane="bottomLeft" sqref="A1:IV65536"/>
      <selection pane="bottomRight" activeCell="B5" sqref="B5:P10"/>
    </sheetView>
  </sheetViews>
  <sheetFormatPr defaultColWidth="9.08984375" defaultRowHeight="13" outlineLevelRow="1"/>
  <cols>
    <col min="1" max="1" width="6.08984375" style="17" customWidth="1"/>
    <col min="2" max="2" width="10.90625" style="17" customWidth="1"/>
    <col min="3" max="3" width="72" style="20" customWidth="1"/>
    <col min="4" max="4" width="20.54296875" style="9" customWidth="1"/>
    <col min="5" max="5" width="14.08984375" style="9" customWidth="1"/>
    <col min="6" max="8" width="13.90625" style="9" customWidth="1"/>
    <col min="9" max="9" width="21.90625" style="9" customWidth="1"/>
    <col min="10" max="10" width="13.90625" style="9" customWidth="1"/>
    <col min="11" max="11" width="14.08984375" style="9" customWidth="1"/>
    <col min="12" max="12" width="15.90625" style="9" customWidth="1"/>
    <col min="13" max="14" width="14.08984375" style="9" customWidth="1"/>
    <col min="15" max="15" width="14.08984375" style="9" bestFit="1" customWidth="1"/>
    <col min="16" max="16" width="16.453125" style="10" bestFit="1" customWidth="1"/>
    <col min="17" max="17" width="4.90625" style="15" customWidth="1"/>
    <col min="18" max="18" width="13" style="11" customWidth="1"/>
    <col min="19" max="19" width="16.08984375" style="11" customWidth="1"/>
    <col min="20" max="20" width="9.08984375" style="11" customWidth="1"/>
    <col min="21" max="21" width="12.6328125" style="11" bestFit="1" customWidth="1"/>
    <col min="22" max="16384" width="9.08984375" style="11"/>
  </cols>
  <sheetData>
    <row r="2" spans="1:19" ht="13.5" thickBot="1"/>
    <row r="3" spans="1:19" s="69" customFormat="1">
      <c r="A3" s="53" t="s">
        <v>10</v>
      </c>
      <c r="B3" s="55" t="s">
        <v>11</v>
      </c>
      <c r="C3" s="57" t="s">
        <v>12</v>
      </c>
      <c r="D3" s="65">
        <v>45658</v>
      </c>
      <c r="E3" s="65">
        <v>45689</v>
      </c>
      <c r="F3" s="65">
        <v>45717</v>
      </c>
      <c r="G3" s="65">
        <v>45748</v>
      </c>
      <c r="H3" s="65">
        <v>45778</v>
      </c>
      <c r="I3" s="65">
        <v>45809</v>
      </c>
      <c r="J3" s="65">
        <v>45839</v>
      </c>
      <c r="K3" s="65">
        <v>45870</v>
      </c>
      <c r="L3" s="65">
        <v>45901</v>
      </c>
      <c r="M3" s="65">
        <v>45931</v>
      </c>
      <c r="N3" s="65">
        <v>45962</v>
      </c>
      <c r="O3" s="65">
        <v>45992</v>
      </c>
      <c r="P3" s="12" t="s">
        <v>0</v>
      </c>
      <c r="Q3" s="68" t="s">
        <v>18</v>
      </c>
    </row>
    <row r="4" spans="1:19" s="69" customFormat="1" ht="13.5" thickBot="1">
      <c r="A4" s="54"/>
      <c r="B4" s="56"/>
      <c r="C4" s="58"/>
      <c r="D4" s="42"/>
      <c r="E4" s="42"/>
      <c r="F4" s="202"/>
      <c r="G4" s="42"/>
      <c r="H4" s="201"/>
      <c r="I4" s="13"/>
      <c r="J4" s="203"/>
      <c r="K4" s="200"/>
      <c r="L4" s="201"/>
      <c r="M4" s="13"/>
      <c r="N4" s="201"/>
      <c r="O4" s="13"/>
      <c r="P4" s="14"/>
      <c r="Q4" s="68" t="s">
        <v>20</v>
      </c>
      <c r="S4" s="169" t="s">
        <v>93</v>
      </c>
    </row>
    <row r="5" spans="1:19" s="25" customFormat="1" outlineLevel="1">
      <c r="A5" s="17"/>
      <c r="B5" s="27" t="s">
        <v>31</v>
      </c>
      <c r="C5" s="23" t="s">
        <v>118</v>
      </c>
      <c r="D5" s="198">
        <v>31983258.479999997</v>
      </c>
      <c r="E5" s="61"/>
      <c r="F5" s="61">
        <v>3649446</v>
      </c>
      <c r="G5" s="61">
        <v>16421324.379999999</v>
      </c>
      <c r="H5" s="10">
        <v>2193196.02</v>
      </c>
      <c r="I5" s="214"/>
      <c r="J5" s="10">
        <v>1601000</v>
      </c>
      <c r="K5" s="59"/>
      <c r="L5" s="199"/>
      <c r="M5" s="59"/>
      <c r="N5" s="199"/>
      <c r="O5" s="216"/>
      <c r="P5" s="60">
        <f t="shared" ref="P5" si="0">SUM(D5:O5)</f>
        <v>55848224.880000003</v>
      </c>
      <c r="Q5" s="62" t="s">
        <v>20</v>
      </c>
      <c r="S5" s="25" t="str">
        <f>VLOOKUP(C7,'[18]Projects Consolidation'!$C:$S,17,0)</f>
        <v>**</v>
      </c>
    </row>
    <row r="6" spans="1:19" s="25" customFormat="1" outlineLevel="1">
      <c r="A6" s="17"/>
      <c r="B6" s="27"/>
      <c r="C6" s="23"/>
      <c r="D6" s="198"/>
      <c r="E6" s="61"/>
      <c r="F6" s="61"/>
      <c r="G6" s="61"/>
      <c r="H6" s="10"/>
      <c r="I6" s="214"/>
      <c r="J6" s="10"/>
      <c r="K6" s="214"/>
      <c r="L6" s="10"/>
      <c r="M6" s="214"/>
      <c r="N6" s="10"/>
      <c r="O6" s="219"/>
      <c r="P6" s="60"/>
      <c r="Q6" s="62" t="s">
        <v>20</v>
      </c>
      <c r="S6" s="25" t="str">
        <f>VLOOKUP(C8,'[18]Projects Consolidation'!$C:$S,17,0)</f>
        <v>**</v>
      </c>
    </row>
    <row r="7" spans="1:19" s="25" customFormat="1" outlineLevel="1">
      <c r="A7" s="17"/>
      <c r="B7" s="27"/>
      <c r="C7" s="29"/>
      <c r="D7" s="198"/>
      <c r="E7" s="61"/>
      <c r="F7" s="61"/>
      <c r="G7" s="61"/>
      <c r="H7" s="204"/>
      <c r="I7" s="61"/>
      <c r="J7" s="208"/>
      <c r="K7" s="59"/>
      <c r="L7" s="199"/>
      <c r="M7" s="59"/>
      <c r="N7" s="199"/>
      <c r="O7" s="216"/>
      <c r="P7" s="60"/>
      <c r="Q7" s="62" t="s">
        <v>20</v>
      </c>
      <c r="S7" s="25" t="str">
        <f>VLOOKUP(C9,'[18]Projects Consolidation'!$C:$S,17,0)</f>
        <v>**</v>
      </c>
    </row>
    <row r="8" spans="1:19" s="25" customFormat="1" outlineLevel="1">
      <c r="A8" s="17"/>
      <c r="B8" s="27"/>
      <c r="C8" s="23"/>
      <c r="D8" s="198"/>
      <c r="E8" s="61"/>
      <c r="F8" s="61"/>
      <c r="G8" s="61"/>
      <c r="H8" s="204"/>
      <c r="I8" s="61"/>
      <c r="J8" s="208"/>
      <c r="K8" s="59"/>
      <c r="L8" s="199"/>
      <c r="M8" s="59"/>
      <c r="N8" s="199"/>
      <c r="O8" s="216"/>
      <c r="P8" s="60"/>
      <c r="Q8" s="62" t="s">
        <v>20</v>
      </c>
      <c r="S8" s="25" t="e">
        <f>VLOOKUP(#REF!,'[18]Projects Consolidation'!$C:$S,17,0)</f>
        <v>#REF!</v>
      </c>
    </row>
    <row r="9" spans="1:19" s="25" customFormat="1" ht="13.5" outlineLevel="1" thickBot="1">
      <c r="A9" s="17"/>
      <c r="B9" s="27"/>
      <c r="C9" s="30"/>
      <c r="D9" s="198"/>
      <c r="E9" s="61"/>
      <c r="F9" s="61"/>
      <c r="G9" s="61"/>
      <c r="H9" s="204"/>
      <c r="I9" s="61"/>
      <c r="J9" s="208"/>
      <c r="K9" s="59"/>
      <c r="L9" s="199"/>
      <c r="M9" s="59"/>
      <c r="N9" s="199"/>
      <c r="O9" s="216"/>
      <c r="P9" s="60"/>
      <c r="Q9" s="62" t="s">
        <v>20</v>
      </c>
      <c r="S9" s="25" t="e">
        <f>VLOOKUP(#REF!,'[18]Projects Consolidation'!$C:$S,17,0)</f>
        <v>#REF!</v>
      </c>
    </row>
    <row r="10" spans="1:19" ht="13.5" thickBot="1">
      <c r="A10" s="18"/>
      <c r="B10" s="19"/>
      <c r="C10" s="70" t="s">
        <v>13</v>
      </c>
      <c r="D10" s="47">
        <f>SUM(D5:D9)</f>
        <v>31983258.479999997</v>
      </c>
      <c r="E10" s="47">
        <f t="shared" ref="E10:O10" si="1">SUM(E5:E9)</f>
        <v>0</v>
      </c>
      <c r="F10" s="47">
        <f t="shared" si="1"/>
        <v>3649446</v>
      </c>
      <c r="G10" s="47">
        <f t="shared" si="1"/>
        <v>16421324.379999999</v>
      </c>
      <c r="H10" s="205">
        <f t="shared" si="1"/>
        <v>2193196.02</v>
      </c>
      <c r="I10" s="215">
        <f t="shared" si="1"/>
        <v>0</v>
      </c>
      <c r="J10" s="209">
        <f t="shared" si="1"/>
        <v>1601000</v>
      </c>
      <c r="K10" s="215">
        <f t="shared" si="1"/>
        <v>0</v>
      </c>
      <c r="L10" s="209">
        <f t="shared" si="1"/>
        <v>0</v>
      </c>
      <c r="M10" s="215">
        <f t="shared" si="1"/>
        <v>0</v>
      </c>
      <c r="N10" s="209">
        <f t="shared" si="1"/>
        <v>0</v>
      </c>
      <c r="O10" s="220">
        <f t="shared" si="1"/>
        <v>0</v>
      </c>
      <c r="P10" s="215">
        <f>SUM(P5:P9)</f>
        <v>55848224.880000003</v>
      </c>
      <c r="Q10" s="15" t="s">
        <v>19</v>
      </c>
      <c r="S10" s="25" t="str">
        <f>VLOOKUP(C12,'[18]Projects Consolidation'!$C:$S,17,0)</f>
        <v>**</v>
      </c>
    </row>
    <row r="11" spans="1:19">
      <c r="B11" s="20"/>
    </row>
    <row r="12" spans="1:19">
      <c r="B12" s="20"/>
    </row>
    <row r="13" spans="1:19">
      <c r="B13" s="20"/>
    </row>
    <row r="14" spans="1:19">
      <c r="B14" s="20"/>
    </row>
    <row r="15" spans="1:19">
      <c r="B15" s="20"/>
    </row>
    <row r="16" spans="1:19">
      <c r="B16" s="20"/>
    </row>
    <row r="17" spans="2:16">
      <c r="B17" s="20"/>
    </row>
    <row r="18" spans="2:16">
      <c r="B18" s="20"/>
    </row>
    <row r="19" spans="2:16">
      <c r="B19" s="20"/>
    </row>
    <row r="20" spans="2:16">
      <c r="B20" s="20"/>
    </row>
    <row r="21" spans="2:16">
      <c r="B21" s="20"/>
    </row>
    <row r="22" spans="2:16">
      <c r="B22" s="20"/>
    </row>
    <row r="23" spans="2:16">
      <c r="B23" s="20"/>
    </row>
    <row r="24" spans="2:16">
      <c r="B24" s="20"/>
    </row>
    <row r="25" spans="2:16">
      <c r="B25" s="20"/>
    </row>
    <row r="32" spans="2:16">
      <c r="P32" s="9"/>
    </row>
    <row r="33" spans="16:16">
      <c r="P33" s="9"/>
    </row>
  </sheetData>
  <phoneticPr fontId="3" type="noConversion"/>
  <conditionalFormatting sqref="C3:C4">
    <cfRule type="duplicateValues" dxfId="10" priority="78" stopIfTrue="1"/>
  </conditionalFormatting>
  <conditionalFormatting sqref="C10">
    <cfRule type="duplicateValues" dxfId="9" priority="3" stopIfTrue="1"/>
  </conditionalFormatting>
  <conditionalFormatting sqref="C6:C9">
    <cfRule type="duplicateValues" dxfId="8" priority="2" stopIfTrue="1"/>
  </conditionalFormatting>
  <conditionalFormatting sqref="C5">
    <cfRule type="duplicateValues" dxfId="7" priority="1" stopIfTrue="1"/>
  </conditionalFormatting>
  <pageMargins left="0.42" right="0.41" top="0.42" bottom="0.42" header="0.17" footer="0.18"/>
  <pageSetup paperSize="9" scale="58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0000"/>
  </sheetPr>
  <dimension ref="A2:S43"/>
  <sheetViews>
    <sheetView showGridLines="0" tabSelected="1" zoomScale="70" zoomScaleNormal="70" zoomScaleSheetLayoutView="66" workbookViewId="0">
      <pane xSplit="3" ySplit="4" topLeftCell="J5" activePane="bottomRight" state="frozen"/>
      <selection activeCell="O1" sqref="O1:O65536"/>
      <selection pane="topRight" activeCell="O1" sqref="O1:O65536"/>
      <selection pane="bottomLeft" activeCell="O1" sqref="O1:O65536"/>
      <selection pane="bottomRight" activeCell="N17" sqref="N17"/>
    </sheetView>
  </sheetViews>
  <sheetFormatPr defaultColWidth="9.08984375" defaultRowHeight="13" outlineLevelRow="1"/>
  <cols>
    <col min="1" max="1" width="6.08984375" style="17" customWidth="1"/>
    <col min="2" max="2" width="10.90625" style="17" customWidth="1"/>
    <col min="3" max="3" width="41.36328125" style="20" customWidth="1"/>
    <col min="4" max="5" width="18.54296875" style="64" customWidth="1"/>
    <col min="6" max="6" width="19" style="64" customWidth="1"/>
    <col min="7" max="7" width="18.54296875" style="64" customWidth="1"/>
    <col min="8" max="8" width="19.36328125" style="64" customWidth="1"/>
    <col min="9" max="9" width="22.90625" style="64" customWidth="1"/>
    <col min="10" max="10" width="18.90625" style="64" customWidth="1"/>
    <col min="11" max="11" width="17" style="63" customWidth="1"/>
    <col min="12" max="12" width="17.6328125" style="63" customWidth="1"/>
    <col min="13" max="13" width="17.453125" style="63" customWidth="1"/>
    <col min="14" max="14" width="17.08984375" style="63" customWidth="1"/>
    <col min="15" max="15" width="16.36328125" style="63" customWidth="1"/>
    <col min="16" max="16" width="21.08984375" style="10" customWidth="1"/>
    <col min="17" max="17" width="18.36328125" style="15" customWidth="1"/>
    <col min="18" max="18" width="15" style="11" customWidth="1"/>
    <col min="19" max="19" width="13.90625" style="11" bestFit="1" customWidth="1"/>
    <col min="20" max="20" width="15.08984375" style="11" bestFit="1" customWidth="1"/>
    <col min="21" max="16384" width="9.08984375" style="11"/>
  </cols>
  <sheetData>
    <row r="2" spans="1:19" ht="13.5" thickBot="1">
      <c r="H2" s="64">
        <f>+'[19]Projects EGP'!$S$815</f>
        <v>0</v>
      </c>
    </row>
    <row r="3" spans="1:19" s="69" customFormat="1">
      <c r="A3" s="53" t="s">
        <v>10</v>
      </c>
      <c r="B3" s="55" t="s">
        <v>11</v>
      </c>
      <c r="C3" s="57" t="s">
        <v>12</v>
      </c>
      <c r="D3" s="65">
        <v>45658</v>
      </c>
      <c r="E3" s="65">
        <v>45689</v>
      </c>
      <c r="F3" s="65">
        <v>45717</v>
      </c>
      <c r="G3" s="65">
        <v>45748</v>
      </c>
      <c r="H3" s="65">
        <v>45778</v>
      </c>
      <c r="I3" s="65">
        <v>45809</v>
      </c>
      <c r="J3" s="65">
        <v>45839</v>
      </c>
      <c r="K3" s="65">
        <v>45870</v>
      </c>
      <c r="L3" s="65">
        <v>45901</v>
      </c>
      <c r="M3" s="65">
        <v>45931</v>
      </c>
      <c r="N3" s="65">
        <v>45962</v>
      </c>
      <c r="O3" s="65">
        <v>45992</v>
      </c>
      <c r="P3" s="12" t="s">
        <v>0</v>
      </c>
      <c r="Q3" s="68"/>
    </row>
    <row r="4" spans="1:19" s="69" customFormat="1" ht="13.5" thickBot="1">
      <c r="A4" s="54"/>
      <c r="B4" s="56"/>
      <c r="C4" s="58"/>
      <c r="D4" s="66"/>
      <c r="E4" s="66"/>
      <c r="F4" s="66"/>
      <c r="G4" s="66"/>
      <c r="H4" s="67"/>
      <c r="I4" s="213"/>
      <c r="J4" s="207"/>
      <c r="K4" s="213"/>
      <c r="L4" s="207"/>
      <c r="M4" s="213"/>
      <c r="N4" s="207"/>
      <c r="O4" s="67"/>
      <c r="P4" s="14"/>
      <c r="Q4" s="68"/>
    </row>
    <row r="5" spans="1:19" outlineLevel="1">
      <c r="B5" s="27" t="s">
        <v>31</v>
      </c>
      <c r="C5" s="23" t="s">
        <v>118</v>
      </c>
      <c r="D5" s="198">
        <v>31983258.479999997</v>
      </c>
      <c r="E5" s="61"/>
      <c r="F5" s="61">
        <v>3649446</v>
      </c>
      <c r="G5" s="61">
        <v>16509779.380000001</v>
      </c>
      <c r="H5" s="10">
        <v>2174446.02</v>
      </c>
      <c r="I5" s="214"/>
      <c r="J5" s="10">
        <v>1601000</v>
      </c>
      <c r="K5" s="59"/>
      <c r="L5" s="199">
        <v>4520803</v>
      </c>
      <c r="M5" s="59">
        <v>15279575</v>
      </c>
      <c r="N5" s="199">
        <v>2190000</v>
      </c>
      <c r="O5" s="240">
        <f>390000+2000000</f>
        <v>2390000</v>
      </c>
      <c r="P5" s="60">
        <f t="shared" ref="P5" si="0">SUM(D5:O5)</f>
        <v>80298307.879999995</v>
      </c>
      <c r="Q5" s="62"/>
      <c r="R5" s="15"/>
    </row>
    <row r="6" spans="1:19" ht="12.5" outlineLevel="1">
      <c r="B6" s="27"/>
      <c r="C6" s="23"/>
      <c r="D6" s="198"/>
      <c r="E6" s="61"/>
      <c r="F6" s="61"/>
      <c r="G6" s="61"/>
      <c r="H6" s="10"/>
      <c r="I6" s="214"/>
      <c r="J6" s="10"/>
      <c r="K6" s="214"/>
      <c r="L6" s="10"/>
      <c r="M6" s="214"/>
      <c r="N6" s="10"/>
      <c r="O6" s="219"/>
      <c r="P6" s="60"/>
      <c r="Q6" s="10"/>
      <c r="R6" s="10"/>
      <c r="S6" s="10"/>
    </row>
    <row r="7" spans="1:19" outlineLevel="1">
      <c r="B7" s="27"/>
      <c r="C7" s="29"/>
      <c r="D7" s="198"/>
      <c r="E7" s="61"/>
      <c r="F7" s="61"/>
      <c r="G7" s="61"/>
      <c r="H7" s="204"/>
      <c r="I7" s="61"/>
      <c r="J7" s="208"/>
      <c r="K7" s="59"/>
      <c r="L7" s="199"/>
      <c r="M7" s="59"/>
      <c r="N7" s="199"/>
      <c r="O7" s="216"/>
      <c r="P7" s="60"/>
      <c r="Q7" s="62"/>
      <c r="R7" s="15"/>
    </row>
    <row r="8" spans="1:19" outlineLevel="1">
      <c r="B8" s="27"/>
      <c r="C8" s="23"/>
      <c r="D8" s="198"/>
      <c r="E8" s="61"/>
      <c r="F8" s="61"/>
      <c r="G8" s="61"/>
      <c r="H8" s="204"/>
      <c r="I8" s="61"/>
      <c r="J8" s="208"/>
      <c r="K8" s="59"/>
      <c r="L8" s="199"/>
      <c r="M8" s="59"/>
      <c r="N8" s="199"/>
      <c r="O8" s="216"/>
      <c r="P8" s="60"/>
      <c r="Q8" s="62"/>
      <c r="R8" s="15"/>
    </row>
    <row r="9" spans="1:19" ht="13.5" outlineLevel="1" thickBot="1">
      <c r="B9" s="27"/>
      <c r="C9" s="30"/>
      <c r="D9" s="198"/>
      <c r="E9" s="61"/>
      <c r="F9" s="61"/>
      <c r="G9" s="61"/>
      <c r="H9" s="204"/>
      <c r="I9" s="61"/>
      <c r="J9" s="208"/>
      <c r="K9" s="59"/>
      <c r="L9" s="199"/>
      <c r="M9" s="59"/>
      <c r="N9" s="199"/>
      <c r="O9" s="216"/>
      <c r="P9" s="60"/>
      <c r="Q9" s="62"/>
      <c r="R9" s="15"/>
    </row>
    <row r="10" spans="1:19" ht="13.5" thickBot="1">
      <c r="A10" s="18"/>
      <c r="B10" s="19"/>
      <c r="C10" s="70" t="s">
        <v>13</v>
      </c>
      <c r="D10" s="47">
        <f>SUM(D5:D9)</f>
        <v>31983258.479999997</v>
      </c>
      <c r="E10" s="47">
        <f t="shared" ref="E10:O10" si="1">SUM(E5:E9)</f>
        <v>0</v>
      </c>
      <c r="F10" s="47">
        <f t="shared" si="1"/>
        <v>3649446</v>
      </c>
      <c r="G10" s="47">
        <f t="shared" si="1"/>
        <v>16509779.380000001</v>
      </c>
      <c r="H10" s="205">
        <f t="shared" si="1"/>
        <v>2174446.02</v>
      </c>
      <c r="I10" s="215">
        <f t="shared" si="1"/>
        <v>0</v>
      </c>
      <c r="J10" s="209">
        <f t="shared" si="1"/>
        <v>1601000</v>
      </c>
      <c r="K10" s="215">
        <f t="shared" si="1"/>
        <v>0</v>
      </c>
      <c r="L10" s="209">
        <f t="shared" si="1"/>
        <v>4520803</v>
      </c>
      <c r="M10" s="215">
        <f t="shared" si="1"/>
        <v>15279575</v>
      </c>
      <c r="N10" s="209">
        <f t="shared" si="1"/>
        <v>2190000</v>
      </c>
      <c r="O10" s="220">
        <f t="shared" si="1"/>
        <v>2390000</v>
      </c>
      <c r="P10" s="215">
        <f>SUM(P5:P9)</f>
        <v>80298307.879999995</v>
      </c>
      <c r="R10" s="15"/>
    </row>
    <row r="11" spans="1:19">
      <c r="B11" s="20"/>
    </row>
    <row r="12" spans="1:19">
      <c r="B12" s="20"/>
      <c r="K12" s="64"/>
      <c r="L12" s="64"/>
      <c r="M12" s="64"/>
      <c r="N12" s="64"/>
      <c r="O12" s="64"/>
    </row>
    <row r="13" spans="1:19">
      <c r="B13" s="20"/>
      <c r="K13" s="64"/>
      <c r="L13" s="64"/>
      <c r="M13" s="64"/>
      <c r="N13" s="64"/>
      <c r="O13" s="64"/>
    </row>
    <row r="14" spans="1:19">
      <c r="B14" s="20"/>
      <c r="K14" s="64"/>
      <c r="L14" s="64"/>
      <c r="M14" s="64"/>
      <c r="N14" s="64"/>
      <c r="O14" s="64"/>
    </row>
    <row r="15" spans="1:19">
      <c r="B15" s="20"/>
      <c r="K15" s="64"/>
      <c r="L15" s="64"/>
      <c r="M15" s="64"/>
      <c r="N15" s="64"/>
      <c r="O15" s="64"/>
    </row>
    <row r="16" spans="1:19" ht="14.5">
      <c r="B16" s="2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</row>
    <row r="17" spans="2:15">
      <c r="B17" s="20"/>
      <c r="K17" s="64"/>
      <c r="L17" s="64"/>
      <c r="M17" s="64"/>
      <c r="N17" s="64"/>
      <c r="O17" s="64"/>
    </row>
    <row r="18" spans="2:15">
      <c r="B18" s="20"/>
      <c r="K18" s="64"/>
      <c r="L18" s="64"/>
      <c r="M18" s="64"/>
      <c r="N18" s="64"/>
      <c r="O18" s="64"/>
    </row>
    <row r="19" spans="2:15">
      <c r="B19" s="20"/>
      <c r="K19" s="64"/>
      <c r="L19" s="64"/>
      <c r="M19" s="64"/>
      <c r="N19" s="64"/>
      <c r="O19" s="64"/>
    </row>
    <row r="20" spans="2:15">
      <c r="B20" s="20"/>
      <c r="H20" s="77"/>
    </row>
    <row r="21" spans="2:15">
      <c r="B21" s="20"/>
    </row>
    <row r="22" spans="2:15">
      <c r="B22" s="20"/>
    </row>
    <row r="23" spans="2:15">
      <c r="B23" s="20"/>
    </row>
    <row r="24" spans="2:15">
      <c r="B24" s="20"/>
    </row>
    <row r="25" spans="2:15">
      <c r="B25" s="20"/>
    </row>
    <row r="26" spans="2:15">
      <c r="B26" s="20"/>
    </row>
    <row r="27" spans="2:15">
      <c r="B27" s="20"/>
    </row>
    <row r="28" spans="2:15">
      <c r="B28" s="20"/>
    </row>
    <row r="29" spans="2:15">
      <c r="B29" s="20"/>
    </row>
    <row r="30" spans="2:15">
      <c r="B30" s="20"/>
    </row>
    <row r="31" spans="2:15">
      <c r="B31" s="20"/>
    </row>
    <row r="32" spans="2:15">
      <c r="B32" s="20"/>
    </row>
    <row r="33" spans="2:2">
      <c r="B33" s="20"/>
    </row>
    <row r="34" spans="2:2">
      <c r="B34" s="20"/>
    </row>
    <row r="35" spans="2:2">
      <c r="B35" s="20"/>
    </row>
    <row r="36" spans="2:2">
      <c r="B36" s="20"/>
    </row>
    <row r="37" spans="2:2">
      <c r="B37" s="20"/>
    </row>
    <row r="38" spans="2:2">
      <c r="B38" s="20"/>
    </row>
    <row r="39" spans="2:2">
      <c r="B39" s="20"/>
    </row>
    <row r="40" spans="2:2">
      <c r="B40" s="20"/>
    </row>
    <row r="41" spans="2:2">
      <c r="B41" s="20"/>
    </row>
    <row r="42" spans="2:2">
      <c r="B42" s="20"/>
    </row>
    <row r="43" spans="2:2">
      <c r="B43" s="20"/>
    </row>
  </sheetData>
  <autoFilter ref="A2:R10" xr:uid="{00000000-0009-0000-0000-000002000000}"/>
  <phoneticPr fontId="3" type="noConversion"/>
  <conditionalFormatting sqref="C2:C4 C10">
    <cfRule type="duplicateValues" dxfId="6" priority="78" stopIfTrue="1"/>
  </conditionalFormatting>
  <conditionalFormatting sqref="C6:C9">
    <cfRule type="duplicateValues" dxfId="5" priority="2" stopIfTrue="1"/>
  </conditionalFormatting>
  <conditionalFormatting sqref="C5">
    <cfRule type="duplicateValues" dxfId="4" priority="1" stopIfTrue="1"/>
  </conditionalFormatting>
  <pageMargins left="0.42" right="0.41" top="0.42" bottom="0.42" header="0.17" footer="0.18"/>
  <pageSetup paperSize="9" scale="56" fitToHeight="3" orientation="landscape" horizontalDpi="300" verticalDpi="300" r:id="rId1"/>
  <headerFooter alignWithMargins="0">
    <oddHeader>&amp;CEgyptian Company For Mobile Services Confidential Proprietary</oddHeader>
    <oddFooter>&amp;L&amp;9&amp;P&amp;CBudget Y2005 V1.0
&amp;R&amp;9&amp;D&amp;T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R63"/>
  <sheetViews>
    <sheetView showGridLines="0" zoomScale="90" zoomScaleNormal="90" workbookViewId="0">
      <selection activeCell="F27" sqref="F27"/>
    </sheetView>
  </sheetViews>
  <sheetFormatPr defaultColWidth="9.08984375" defaultRowHeight="13"/>
  <cols>
    <col min="1" max="1" width="24" style="6" customWidth="1"/>
    <col min="2" max="2" width="0" style="6" hidden="1" customWidth="1"/>
    <col min="3" max="3" width="10.6328125" style="6" bestFit="1" customWidth="1"/>
    <col min="4" max="4" width="9.90625" style="6" bestFit="1" customWidth="1"/>
    <col min="5" max="5" width="10.6328125" style="6" bestFit="1" customWidth="1"/>
    <col min="6" max="6" width="9.90625" style="6" bestFit="1" customWidth="1"/>
    <col min="7" max="14" width="10.6328125" style="6" bestFit="1" customWidth="1"/>
    <col min="15" max="15" width="12" style="5" bestFit="1" customWidth="1"/>
    <col min="16" max="16" width="4.90625" style="5" bestFit="1" customWidth="1"/>
    <col min="17" max="17" width="12" style="5" bestFit="1" customWidth="1"/>
    <col min="18" max="174" width="9.08984375" style="5"/>
    <col min="175" max="16384" width="9.08984375" style="6"/>
  </cols>
  <sheetData>
    <row r="1" spans="1:174" s="4" customFormat="1" ht="15.5">
      <c r="A1" s="1" t="s">
        <v>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174" s="4" customFormat="1">
      <c r="A2" s="5" t="s">
        <v>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4" s="4" customFormat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4" s="4" customFormat="1">
      <c r="A4" s="5" t="s">
        <v>8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FQ5" s="6"/>
      <c r="FR5" s="6"/>
    </row>
    <row r="6" spans="1:174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FQ6" s="6"/>
      <c r="FR6" s="6"/>
    </row>
    <row r="7" spans="1:174" s="7" customFormat="1">
      <c r="A7" s="5" t="s">
        <v>1</v>
      </c>
      <c r="B7" s="5"/>
      <c r="C7" s="44">
        <v>45658</v>
      </c>
      <c r="D7" s="44">
        <v>45689</v>
      </c>
      <c r="E7" s="44">
        <v>45717</v>
      </c>
      <c r="F7" s="44">
        <v>45748</v>
      </c>
      <c r="G7" s="44">
        <v>45778</v>
      </c>
      <c r="H7" s="44">
        <v>45809</v>
      </c>
      <c r="I7" s="44">
        <v>45839</v>
      </c>
      <c r="J7" s="44">
        <v>45870</v>
      </c>
      <c r="K7" s="44">
        <v>45901</v>
      </c>
      <c r="L7" s="44">
        <v>45931</v>
      </c>
      <c r="M7" s="44">
        <v>45962</v>
      </c>
      <c r="N7" s="44">
        <v>45992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</row>
    <row r="8" spans="1:174" s="8" customFormat="1" ht="13.5" thickBo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</row>
    <row r="9" spans="1:174" s="7" customFormat="1" ht="14.5" thickBot="1">
      <c r="A9" s="5" t="s">
        <v>2</v>
      </c>
      <c r="B9" s="5"/>
      <c r="C9" s="52"/>
      <c r="D9" s="52"/>
      <c r="E9" s="52"/>
      <c r="F9" s="52"/>
      <c r="G9" s="52"/>
      <c r="H9" s="52"/>
      <c r="I9" s="52"/>
      <c r="J9" s="52">
        <v>50.9</v>
      </c>
      <c r="K9" s="52">
        <v>50.9</v>
      </c>
      <c r="L9" s="52">
        <v>50.9</v>
      </c>
      <c r="M9" s="52">
        <v>50.9</v>
      </c>
      <c r="N9" s="52">
        <v>50.9</v>
      </c>
      <c r="O9" s="5"/>
      <c r="P9" s="48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</row>
    <row r="10" spans="1:174" s="7" customFormat="1">
      <c r="A10" s="5" t="s">
        <v>4</v>
      </c>
      <c r="B10" s="5">
        <f>+AVERAGE(C9:N9)</f>
        <v>50.9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5"/>
      <c r="P10" s="48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</row>
    <row r="11" spans="1:174" s="7" customFormat="1" ht="13.5" thickBot="1">
      <c r="A11" s="5"/>
      <c r="B11" s="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5"/>
      <c r="P11" s="48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</row>
    <row r="12" spans="1:174" s="7" customFormat="1" ht="14.5" thickBot="1">
      <c r="A12" s="5" t="s">
        <v>3</v>
      </c>
      <c r="B12" s="5"/>
      <c r="C12" s="52"/>
      <c r="D12" s="52"/>
      <c r="E12" s="52"/>
      <c r="F12" s="52"/>
      <c r="G12" s="52"/>
      <c r="H12" s="52"/>
      <c r="I12" s="52"/>
      <c r="J12" s="52">
        <v>56.5</v>
      </c>
      <c r="K12" s="52">
        <v>56.5</v>
      </c>
      <c r="L12" s="52">
        <v>56.5</v>
      </c>
      <c r="M12" s="52">
        <v>56.5</v>
      </c>
      <c r="N12" s="52">
        <v>56.5</v>
      </c>
      <c r="O12" s="45"/>
      <c r="P12" s="48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</row>
    <row r="13" spans="1:174" s="7" customFormat="1">
      <c r="A13" s="5" t="s">
        <v>5</v>
      </c>
      <c r="B13" s="5">
        <f>+AVERAGE(C12:N12)</f>
        <v>56.5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</row>
    <row r="14" spans="1:17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74">
      <c r="A15" s="5"/>
      <c r="B15" s="5"/>
      <c r="C15" s="5"/>
      <c r="D15" s="5"/>
      <c r="E15" s="5"/>
      <c r="F15" s="5"/>
      <c r="I15" s="5"/>
      <c r="J15" s="5"/>
      <c r="K15" s="5"/>
      <c r="L15" s="5"/>
      <c r="M15" s="5"/>
      <c r="N15" s="5"/>
    </row>
    <row r="16" spans="1:174">
      <c r="A16" s="5"/>
      <c r="B16" s="5"/>
      <c r="C16" s="5"/>
      <c r="D16" s="5"/>
      <c r="E16" s="5"/>
      <c r="F16" s="39"/>
      <c r="G16" s="5"/>
      <c r="H16" s="5"/>
      <c r="I16" s="5"/>
      <c r="J16" s="39"/>
      <c r="K16" s="5"/>
      <c r="L16" s="5"/>
      <c r="M16" s="5"/>
      <c r="N16" s="5"/>
    </row>
    <row r="17" spans="1:16">
      <c r="A17" s="5"/>
      <c r="B17" s="5"/>
      <c r="C17" s="5"/>
      <c r="D17" s="39"/>
      <c r="E17" s="5"/>
      <c r="F17" s="48"/>
      <c r="G17" s="5"/>
      <c r="H17" s="5"/>
      <c r="I17" s="5"/>
      <c r="J17" s="5"/>
      <c r="K17" s="5"/>
      <c r="L17" s="5"/>
      <c r="M17" s="5"/>
      <c r="N17" s="5"/>
    </row>
    <row r="18" spans="1:16">
      <c r="A18" s="5"/>
      <c r="B18" s="5"/>
      <c r="C18" s="39"/>
      <c r="D18" s="39"/>
      <c r="E18" s="39"/>
      <c r="F18" s="39"/>
      <c r="G18" s="39"/>
      <c r="H18" s="39"/>
      <c r="I18" s="39"/>
      <c r="J18" s="39"/>
      <c r="K18" s="5"/>
      <c r="L18" s="5"/>
      <c r="M18" s="5"/>
      <c r="N18" s="5"/>
    </row>
    <row r="19" spans="1:16">
      <c r="A19" s="5"/>
      <c r="B19" s="5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6">
      <c r="A20" s="5"/>
      <c r="B20" s="5"/>
      <c r="C20" s="5"/>
      <c r="D20" s="5"/>
      <c r="E20" s="5"/>
      <c r="F20" s="48"/>
      <c r="G20" s="5"/>
      <c r="H20" s="5"/>
      <c r="I20" s="5"/>
      <c r="J20" s="5"/>
      <c r="K20" s="5"/>
      <c r="L20" s="5"/>
      <c r="M20" s="5"/>
      <c r="N20" s="5"/>
    </row>
    <row r="21" spans="1:16">
      <c r="A21" s="5"/>
      <c r="B21" s="5"/>
      <c r="C21" s="5"/>
      <c r="D21" s="5"/>
      <c r="E21" s="5"/>
      <c r="F21" s="40"/>
      <c r="G21" s="5"/>
      <c r="H21" s="5"/>
      <c r="I21" s="5"/>
      <c r="J21" s="5"/>
      <c r="K21" s="5"/>
      <c r="L21" s="5"/>
      <c r="M21" s="5"/>
      <c r="N21" s="5"/>
    </row>
    <row r="22" spans="1:16">
      <c r="A22" s="5"/>
      <c r="B22" s="5"/>
      <c r="C22" s="5"/>
      <c r="D22" s="5"/>
      <c r="E22" s="5"/>
      <c r="F22" s="40"/>
      <c r="G22" s="5"/>
      <c r="H22" s="5"/>
      <c r="I22" s="5"/>
      <c r="J22" s="5"/>
      <c r="K22" s="5"/>
      <c r="L22" s="5"/>
      <c r="M22" s="5"/>
      <c r="N22" s="5"/>
    </row>
    <row r="23" spans="1:16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50"/>
      <c r="P23" s="38"/>
    </row>
    <row r="24" spans="1:16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51"/>
    </row>
    <row r="25" spans="1:16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39"/>
      <c r="N25" s="5"/>
    </row>
    <row r="26" spans="1:16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39"/>
      <c r="N26" s="5"/>
    </row>
    <row r="27" spans="1:16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38"/>
      <c r="N27" s="5"/>
    </row>
    <row r="28" spans="1:16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40"/>
      <c r="N28" s="5"/>
    </row>
    <row r="29" spans="1:16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48"/>
    </row>
    <row r="31" spans="1:16">
      <c r="A31" s="5"/>
      <c r="B31" s="5"/>
      <c r="C31" s="5"/>
      <c r="D31" s="5"/>
      <c r="E31" s="5"/>
      <c r="F31" s="5"/>
      <c r="G31" s="5"/>
      <c r="H31" s="5"/>
      <c r="I31" s="5"/>
      <c r="J31" s="5"/>
      <c r="K31" s="38"/>
      <c r="L31" s="38"/>
      <c r="M31" s="38"/>
      <c r="N31" s="48"/>
    </row>
    <row r="32" spans="1:1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5">
      <c r="A33" s="5"/>
      <c r="B33" s="5"/>
      <c r="C33" s="74"/>
      <c r="D33" s="74"/>
      <c r="E33" s="74"/>
      <c r="F33" s="39"/>
      <c r="G33" s="39"/>
      <c r="H33" s="39"/>
      <c r="I33" s="39"/>
      <c r="J33" s="39"/>
      <c r="K33" s="39"/>
      <c r="L33" s="39"/>
      <c r="M33" s="39"/>
      <c r="N33" s="39"/>
      <c r="O33" s="39"/>
    </row>
    <row r="34" spans="1:15">
      <c r="A34" s="5"/>
      <c r="B34" s="5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</row>
    <row r="35" spans="1:15">
      <c r="A35" s="5"/>
      <c r="B35" s="5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</row>
    <row r="36" spans="1:15" ht="14.5">
      <c r="A36" s="5"/>
      <c r="B36" s="5"/>
      <c r="C36" s="39"/>
      <c r="D36" s="39"/>
      <c r="E36" s="39"/>
      <c r="F36" s="39"/>
      <c r="G36" s="39"/>
      <c r="H36" s="39"/>
      <c r="I36" s="75"/>
      <c r="J36" s="39"/>
      <c r="K36" s="39"/>
      <c r="L36" s="39"/>
      <c r="M36" s="39"/>
      <c r="N36" s="39"/>
      <c r="O36" s="76"/>
    </row>
    <row r="37" spans="1:15" ht="14.5">
      <c r="A37" s="5"/>
      <c r="B37" s="5"/>
      <c r="C37" s="39"/>
      <c r="D37" s="39"/>
      <c r="E37" s="39"/>
      <c r="F37" s="39"/>
      <c r="G37" s="39"/>
      <c r="H37" s="39"/>
      <c r="I37" s="75"/>
      <c r="J37" s="39"/>
      <c r="K37" s="39"/>
      <c r="L37" s="39"/>
      <c r="M37" s="39"/>
      <c r="N37" s="39"/>
      <c r="O37" s="76"/>
    </row>
    <row r="38" spans="1:15">
      <c r="A38" s="5"/>
      <c r="B38" s="5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76"/>
    </row>
    <row r="39" spans="1:15">
      <c r="A39" s="5"/>
      <c r="B39" s="5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</row>
    <row r="40" spans="1:15">
      <c r="A40" s="5"/>
      <c r="B40" s="5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1" spans="1:15">
      <c r="A41" s="5"/>
      <c r="B41" s="5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</row>
    <row r="42" spans="1:15">
      <c r="A42" s="5"/>
      <c r="B42" s="5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76"/>
    </row>
    <row r="43" spans="1:15">
      <c r="A43" s="5"/>
      <c r="B43" s="5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76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</sheetData>
  <sheetProtection selectLockedCells="1"/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V11"/>
  <sheetViews>
    <sheetView zoomScale="85" zoomScaleNormal="85" workbookViewId="0">
      <pane xSplit="3" ySplit="4" topLeftCell="L5" activePane="bottomRight" state="frozen"/>
      <selection pane="topRight" activeCell="D1" sqref="D1"/>
      <selection pane="bottomLeft" activeCell="A5" sqref="A5"/>
      <selection pane="bottomRight" activeCell="J5" sqref="J5"/>
    </sheetView>
  </sheetViews>
  <sheetFormatPr defaultColWidth="9.08984375" defaultRowHeight="12.5" outlineLevelRow="1"/>
  <cols>
    <col min="1" max="1" width="15.08984375" style="17" customWidth="1"/>
    <col min="2" max="2" width="13.54296875" style="17" customWidth="1"/>
    <col min="3" max="3" width="28.6328125" style="20" customWidth="1"/>
    <col min="4" max="4" width="19.36328125" style="28" customWidth="1"/>
    <col min="5" max="5" width="17.54296875" style="28" customWidth="1"/>
    <col min="6" max="6" width="17.90625" style="28" customWidth="1"/>
    <col min="7" max="7" width="19.6328125" style="28" customWidth="1"/>
    <col min="8" max="8" width="23.453125" style="28" customWidth="1"/>
    <col min="9" max="9" width="20.08984375" style="28" customWidth="1"/>
    <col min="10" max="10" width="18.08984375" style="28" customWidth="1"/>
    <col min="11" max="11" width="18.6328125" style="28" customWidth="1"/>
    <col min="12" max="12" width="17.453125" style="28" customWidth="1"/>
    <col min="13" max="13" width="18.36328125" style="28" customWidth="1"/>
    <col min="14" max="14" width="16.90625" style="28" customWidth="1"/>
    <col min="15" max="15" width="16.08984375" style="28" customWidth="1"/>
    <col min="16" max="16" width="28" style="31" customWidth="1"/>
    <col min="17" max="17" width="23.36328125" style="32" customWidth="1"/>
    <col min="18" max="18" width="12.6328125" style="32" customWidth="1"/>
    <col min="19" max="21" width="9.08984375" style="32"/>
    <col min="22" max="22" width="9.08984375" style="78"/>
    <col min="23" max="16384" width="9.08984375" style="32"/>
  </cols>
  <sheetData>
    <row r="2" spans="1:22" ht="13" thickBot="1">
      <c r="L2" s="33"/>
      <c r="M2" s="33"/>
      <c r="N2" s="34"/>
      <c r="O2" s="33"/>
      <c r="P2" s="32"/>
    </row>
    <row r="3" spans="1:22" s="72" customFormat="1" ht="13">
      <c r="A3" s="234" t="s">
        <v>10</v>
      </c>
      <c r="B3" s="55" t="s">
        <v>11</v>
      </c>
      <c r="C3" s="57" t="s">
        <v>12</v>
      </c>
      <c r="D3" s="65">
        <v>45658</v>
      </c>
      <c r="E3" s="65">
        <v>45689</v>
      </c>
      <c r="F3" s="65">
        <v>45717</v>
      </c>
      <c r="G3" s="65">
        <v>45748</v>
      </c>
      <c r="H3" s="65">
        <v>45778</v>
      </c>
      <c r="I3" s="65">
        <v>45809</v>
      </c>
      <c r="J3" s="65">
        <v>45839</v>
      </c>
      <c r="K3" s="65">
        <v>45870</v>
      </c>
      <c r="L3" s="65">
        <v>45901</v>
      </c>
      <c r="M3" s="65">
        <v>45931</v>
      </c>
      <c r="N3" s="65">
        <v>45962</v>
      </c>
      <c r="O3" s="65">
        <v>45992</v>
      </c>
      <c r="P3" s="71" t="s">
        <v>0</v>
      </c>
      <c r="V3" s="169"/>
    </row>
    <row r="4" spans="1:22" s="72" customFormat="1" ht="13.5" customHeight="1" thickBot="1">
      <c r="A4" s="235"/>
      <c r="B4" s="56"/>
      <c r="C4" s="58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6"/>
      <c r="Q4" s="97"/>
      <c r="V4" s="169" t="s">
        <v>98</v>
      </c>
    </row>
    <row r="5" spans="1:22" ht="12.75" customHeight="1" outlineLevel="1">
      <c r="B5" s="22" t="s">
        <v>31</v>
      </c>
      <c r="C5" s="23" t="s">
        <v>118</v>
      </c>
      <c r="D5" s="16">
        <v>31983258.479999997</v>
      </c>
      <c r="E5" s="16"/>
      <c r="F5" s="16">
        <v>3649446</v>
      </c>
      <c r="G5" s="16">
        <v>16421324.379999999</v>
      </c>
      <c r="H5" s="16">
        <v>2193196.02</v>
      </c>
      <c r="I5" s="16"/>
      <c r="J5" s="16">
        <v>1601000</v>
      </c>
      <c r="K5" s="16"/>
      <c r="L5" s="16"/>
      <c r="M5" s="16"/>
      <c r="N5" s="16"/>
      <c r="O5" s="16"/>
      <c r="P5" s="60">
        <f t="shared" ref="P5" si="0">SUM(D5:O5)</f>
        <v>55848224.880000003</v>
      </c>
      <c r="Q5" s="72"/>
      <c r="V5" s="15"/>
    </row>
    <row r="6" spans="1:22" ht="12.75" customHeight="1" outlineLevel="1">
      <c r="B6" s="22"/>
      <c r="C6" s="23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73"/>
      <c r="Q6" s="72"/>
      <c r="V6" s="15"/>
    </row>
    <row r="7" spans="1:22" ht="12.75" customHeight="1" outlineLevel="1">
      <c r="B7" s="22"/>
      <c r="C7" s="29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73"/>
      <c r="Q7" s="72"/>
      <c r="V7" s="15"/>
    </row>
    <row r="8" spans="1:22" ht="12.75" customHeight="1" outlineLevel="1">
      <c r="B8" s="22"/>
      <c r="C8" s="23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73"/>
      <c r="Q8" s="72"/>
      <c r="V8" s="15"/>
    </row>
    <row r="9" spans="1:22" ht="12.75" customHeight="1" outlineLevel="1" thickBot="1">
      <c r="B9" s="22"/>
      <c r="C9" s="30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73"/>
      <c r="Q9" s="72"/>
      <c r="V9" s="15"/>
    </row>
    <row r="10" spans="1:22" ht="13.5" customHeight="1" thickBot="1">
      <c r="A10" s="18"/>
      <c r="B10" s="19"/>
      <c r="C10" s="70" t="s">
        <v>13</v>
      </c>
      <c r="D10" s="37">
        <f>SUM(D5:D9)</f>
        <v>31983258.479999997</v>
      </c>
      <c r="E10" s="37">
        <f t="shared" ref="E10:O10" si="1">SUM(E5:E9)</f>
        <v>0</v>
      </c>
      <c r="F10" s="37">
        <f t="shared" si="1"/>
        <v>3649446</v>
      </c>
      <c r="G10" s="37">
        <f t="shared" si="1"/>
        <v>16421324.379999999</v>
      </c>
      <c r="H10" s="37">
        <f t="shared" si="1"/>
        <v>2193196.02</v>
      </c>
      <c r="I10" s="37">
        <f t="shared" si="1"/>
        <v>0</v>
      </c>
      <c r="J10" s="37">
        <f t="shared" si="1"/>
        <v>1601000</v>
      </c>
      <c r="K10" s="37">
        <f t="shared" si="1"/>
        <v>0</v>
      </c>
      <c r="L10" s="37">
        <f t="shared" si="1"/>
        <v>0</v>
      </c>
      <c r="M10" s="37">
        <f t="shared" si="1"/>
        <v>0</v>
      </c>
      <c r="N10" s="37">
        <f t="shared" si="1"/>
        <v>0</v>
      </c>
      <c r="O10" s="37">
        <f t="shared" si="1"/>
        <v>0</v>
      </c>
      <c r="P10" s="37">
        <f>SUM(P5:P9)</f>
        <v>55848224.880000003</v>
      </c>
      <c r="Q10" s="72"/>
      <c r="V10" s="15"/>
    </row>
    <row r="11" spans="1:22" ht="12.75" customHeight="1">
      <c r="A11" s="24"/>
      <c r="B11" s="21"/>
      <c r="C11" s="21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71"/>
      <c r="Q11" s="72"/>
    </row>
  </sheetData>
  <mergeCells count="1">
    <mergeCell ref="A3:A4"/>
  </mergeCells>
  <conditionalFormatting sqref="C1:C1048576">
    <cfRule type="duplicateValues" dxfId="3" priority="78" stopIfTrue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3:J32"/>
  <sheetViews>
    <sheetView workbookViewId="0">
      <selection activeCell="K5" sqref="K5"/>
    </sheetView>
  </sheetViews>
  <sheetFormatPr defaultRowHeight="12.5"/>
  <cols>
    <col min="1" max="1" width="38.54296875" bestFit="1" customWidth="1"/>
    <col min="2" max="2" width="16.36328125" bestFit="1" customWidth="1"/>
    <col min="3" max="4" width="13.08984375" bestFit="1" customWidth="1"/>
    <col min="5" max="6" width="14.08984375" bestFit="1" customWidth="1"/>
    <col min="7" max="7" width="13.08984375" bestFit="1" customWidth="1"/>
    <col min="8" max="9" width="14.08984375" bestFit="1" customWidth="1"/>
  </cols>
  <sheetData>
    <row r="3" spans="1:10">
      <c r="A3" s="233" t="s">
        <v>113</v>
      </c>
      <c r="B3" s="233" t="s">
        <v>116</v>
      </c>
    </row>
    <row r="4" spans="1:10">
      <c r="A4" s="233" t="s">
        <v>114</v>
      </c>
      <c r="B4" t="s">
        <v>111</v>
      </c>
      <c r="C4" t="s">
        <v>112</v>
      </c>
      <c r="D4" t="s">
        <v>107</v>
      </c>
      <c r="E4" t="s">
        <v>109</v>
      </c>
      <c r="F4" t="s">
        <v>110</v>
      </c>
      <c r="G4" t="s">
        <v>71</v>
      </c>
      <c r="H4" t="s">
        <v>105</v>
      </c>
      <c r="I4" t="s">
        <v>115</v>
      </c>
      <c r="J4" s="230" t="s">
        <v>117</v>
      </c>
    </row>
    <row r="5" spans="1:10">
      <c r="A5" s="232">
        <v>54586</v>
      </c>
      <c r="B5" s="46"/>
      <c r="C5" s="46"/>
      <c r="D5" s="46"/>
      <c r="E5" s="46"/>
      <c r="F5" s="46"/>
      <c r="G5" s="46">
        <v>-18750</v>
      </c>
      <c r="H5" s="46"/>
      <c r="I5" s="46">
        <v>-18750</v>
      </c>
      <c r="J5" t="e">
        <f>VLOOKUP(A5,'[20]Actual Y25'!$A:$R,19,0)</f>
        <v>#N/A</v>
      </c>
    </row>
    <row r="6" spans="1:10">
      <c r="A6" s="232">
        <v>55569</v>
      </c>
      <c r="B6" s="46"/>
      <c r="C6" s="46"/>
      <c r="D6" s="46"/>
      <c r="E6" s="46"/>
      <c r="F6" s="46"/>
      <c r="G6" s="46">
        <v>-32697.999999998206</v>
      </c>
      <c r="H6" s="46"/>
      <c r="I6" s="46">
        <v>-32697.999999998206</v>
      </c>
      <c r="J6" t="e">
        <f>VLOOKUP(A6,'[20]Actual Y25'!$A:$R,19,0)</f>
        <v>#N/A</v>
      </c>
    </row>
    <row r="7" spans="1:10">
      <c r="A7" s="232">
        <v>58021</v>
      </c>
      <c r="B7" s="46"/>
      <c r="C7" s="46"/>
      <c r="D7" s="46"/>
      <c r="E7" s="46">
        <v>15285</v>
      </c>
      <c r="F7" s="46"/>
      <c r="G7" s="46"/>
      <c r="H7" s="46"/>
      <c r="I7" s="46">
        <v>15285</v>
      </c>
      <c r="J7" t="e">
        <f>VLOOKUP(A7,'[20]Actual Y25'!$A:$R,19,0)</f>
        <v>#N/A</v>
      </c>
    </row>
    <row r="8" spans="1:10">
      <c r="A8" s="232">
        <v>58382</v>
      </c>
      <c r="B8" s="46"/>
      <c r="C8" s="46"/>
      <c r="D8" s="46"/>
      <c r="E8" s="46"/>
      <c r="F8" s="46">
        <v>88455</v>
      </c>
      <c r="G8" s="46"/>
      <c r="H8" s="46"/>
      <c r="I8" s="46">
        <v>88455</v>
      </c>
      <c r="J8" t="e">
        <f>VLOOKUP(A8,'[20]Actual Y25'!$A:$R,19,0)</f>
        <v>#N/A</v>
      </c>
    </row>
    <row r="9" spans="1:10">
      <c r="A9" s="232">
        <v>60080</v>
      </c>
      <c r="B9" s="46"/>
      <c r="C9" s="46"/>
      <c r="D9" s="46"/>
      <c r="E9" s="46">
        <v>1950000</v>
      </c>
      <c r="F9" s="46">
        <v>975000</v>
      </c>
      <c r="G9" s="46"/>
      <c r="H9" s="46"/>
      <c r="I9" s="46">
        <v>2925000</v>
      </c>
      <c r="J9" t="e">
        <f>VLOOKUP(A9,'[20]Actual Y25'!$A:$R,19,0)</f>
        <v>#REF!</v>
      </c>
    </row>
    <row r="10" spans="1:10">
      <c r="A10" s="232">
        <v>60705</v>
      </c>
      <c r="B10" s="46"/>
      <c r="C10" s="46"/>
      <c r="D10" s="46">
        <v>125310</v>
      </c>
      <c r="E10" s="46"/>
      <c r="F10" s="46"/>
      <c r="G10" s="46"/>
      <c r="H10" s="46"/>
      <c r="I10" s="46">
        <v>125310</v>
      </c>
      <c r="J10" t="e">
        <f>VLOOKUP(A10,'[20]Actual Y25'!$A:$R,19,0)</f>
        <v>#N/A</v>
      </c>
    </row>
    <row r="11" spans="1:10" hidden="1">
      <c r="A11" s="232">
        <v>60875</v>
      </c>
      <c r="B11" s="46"/>
      <c r="C11" s="46">
        <v>37631.430000000008</v>
      </c>
      <c r="D11" s="46">
        <v>1068755.73</v>
      </c>
      <c r="E11" s="46"/>
      <c r="F11" s="46">
        <v>600196.58000000007</v>
      </c>
      <c r="G11" s="46">
        <v>670655.65999999992</v>
      </c>
      <c r="H11" s="46"/>
      <c r="I11" s="46">
        <v>2377239.4</v>
      </c>
      <c r="J11">
        <f>VLOOKUP(A11,[21]Sheet1!$B:$B,1,0)</f>
        <v>60875</v>
      </c>
    </row>
    <row r="12" spans="1:10" hidden="1">
      <c r="A12" s="232">
        <v>61110</v>
      </c>
      <c r="B12" s="46"/>
      <c r="C12" s="46"/>
      <c r="D12" s="46"/>
      <c r="E12" s="46"/>
      <c r="F12" s="46"/>
      <c r="G12" s="46">
        <v>43191.72</v>
      </c>
      <c r="H12" s="46">
        <v>143989.56</v>
      </c>
      <c r="I12" s="46">
        <v>187181.28</v>
      </c>
      <c r="J12" t="e">
        <f>VLOOKUP(A12,'[20]Actual Y25'!$A:$R,19,0)</f>
        <v>#REF!</v>
      </c>
    </row>
    <row r="13" spans="1:10" hidden="1">
      <c r="A13" s="232">
        <v>61574</v>
      </c>
      <c r="B13" s="46"/>
      <c r="C13" s="46"/>
      <c r="D13" s="46"/>
      <c r="E13" s="46"/>
      <c r="F13" s="46"/>
      <c r="G13" s="46"/>
      <c r="H13" s="46">
        <v>30669268.919999998</v>
      </c>
      <c r="I13" s="46">
        <v>30669268.919999998</v>
      </c>
      <c r="J13" t="e">
        <f>VLOOKUP(A13,'[20]Actual Y25'!$A:$R,19,0)</f>
        <v>#REF!</v>
      </c>
    </row>
    <row r="14" spans="1:10" hidden="1">
      <c r="A14" s="232">
        <v>61612</v>
      </c>
      <c r="B14" s="46"/>
      <c r="C14" s="46"/>
      <c r="D14" s="46"/>
      <c r="E14" s="46"/>
      <c r="F14" s="46">
        <v>14371322.229999999</v>
      </c>
      <c r="G14" s="46"/>
      <c r="H14" s="46"/>
      <c r="I14" s="46">
        <v>14371322.229999999</v>
      </c>
      <c r="J14" t="e">
        <f>VLOOKUP(A14,'[20]Actual Y25'!$A:$R,19,0)</f>
        <v>#REF!</v>
      </c>
    </row>
    <row r="15" spans="1:10" hidden="1">
      <c r="A15" s="232">
        <v>61639</v>
      </c>
      <c r="B15" s="46"/>
      <c r="C15" s="46"/>
      <c r="D15" s="46"/>
      <c r="E15" s="46"/>
      <c r="F15" s="46">
        <v>1075002.1499999999</v>
      </c>
      <c r="G15" s="46">
        <v>2150004.2999999998</v>
      </c>
      <c r="H15" s="46"/>
      <c r="I15" s="46">
        <v>3225006.4499999997</v>
      </c>
      <c r="J15" t="e">
        <f>VLOOKUP(A15,'[20]Actual Y25'!$A:$R,19,0)</f>
        <v>#REF!</v>
      </c>
    </row>
    <row r="16" spans="1:10">
      <c r="A16" s="232">
        <v>61991</v>
      </c>
      <c r="B16" s="46"/>
      <c r="C16" s="46"/>
      <c r="D16" s="46"/>
      <c r="E16" s="46"/>
      <c r="F16" s="46"/>
      <c r="G16" s="46"/>
      <c r="H16" s="46">
        <v>1170000</v>
      </c>
      <c r="I16" s="46">
        <v>1170000</v>
      </c>
      <c r="J16" t="e">
        <f>VLOOKUP(A16,'[20]Actual Y25'!$A:$R,19,0)</f>
        <v>#REF!</v>
      </c>
    </row>
    <row r="17" spans="1:10" hidden="1">
      <c r="A17" s="232">
        <v>62107</v>
      </c>
      <c r="B17" s="46"/>
      <c r="C17" s="46">
        <v>277831.87</v>
      </c>
      <c r="D17" s="46">
        <v>317149.86000000004</v>
      </c>
      <c r="E17" s="46"/>
      <c r="F17" s="46">
        <v>242549.26000000004</v>
      </c>
      <c r="G17" s="46">
        <v>260034.62</v>
      </c>
      <c r="H17" s="46"/>
      <c r="I17" s="46">
        <v>1097565.6099999999</v>
      </c>
      <c r="J17">
        <f>VLOOKUP(A17,[21]Sheet1!$B:$B,1,0)</f>
        <v>62107</v>
      </c>
    </row>
    <row r="18" spans="1:10">
      <c r="A18" s="232">
        <v>62273</v>
      </c>
      <c r="B18" s="46"/>
      <c r="C18" s="46"/>
      <c r="D18" s="46"/>
      <c r="E18" s="46"/>
      <c r="F18" s="46">
        <v>145350</v>
      </c>
      <c r="G18" s="46"/>
      <c r="H18" s="46"/>
      <c r="I18" s="46">
        <v>145350</v>
      </c>
      <c r="J18" t="e">
        <f>VLOOKUP(A18,'[20]Actual Y25'!$A:$R,19,0)</f>
        <v>#N/A</v>
      </c>
    </row>
    <row r="19" spans="1:10" hidden="1">
      <c r="A19" s="232">
        <v>62312</v>
      </c>
      <c r="B19" s="46">
        <v>259267.5</v>
      </c>
      <c r="C19" s="46">
        <v>-776.25</v>
      </c>
      <c r="D19" s="46"/>
      <c r="E19" s="46">
        <v>698556</v>
      </c>
      <c r="F19" s="46"/>
      <c r="G19" s="46"/>
      <c r="H19" s="46"/>
      <c r="I19" s="46">
        <v>957047.25</v>
      </c>
      <c r="J19">
        <f>VLOOKUP(A19,[21]Sheet1!$B:$B,1,0)</f>
        <v>62312</v>
      </c>
    </row>
    <row r="20" spans="1:10" hidden="1">
      <c r="A20" s="232">
        <v>62417</v>
      </c>
      <c r="B20" s="46">
        <v>179438.46</v>
      </c>
      <c r="C20" s="46"/>
      <c r="D20" s="46"/>
      <c r="E20" s="46"/>
      <c r="F20" s="46"/>
      <c r="G20" s="46"/>
      <c r="H20" s="46"/>
      <c r="I20" s="46">
        <v>179438.46</v>
      </c>
      <c r="J20">
        <f>VLOOKUP(A20,[21]Sheet1!$B:$B,1,0)</f>
        <v>62417</v>
      </c>
    </row>
    <row r="21" spans="1:10" hidden="1">
      <c r="A21" s="232">
        <v>62419</v>
      </c>
      <c r="B21" s="46"/>
      <c r="C21" s="46"/>
      <c r="D21" s="46"/>
      <c r="E21" s="46">
        <v>4783590</v>
      </c>
      <c r="F21" s="46"/>
      <c r="G21" s="46"/>
      <c r="H21" s="46"/>
      <c r="I21" s="46">
        <v>4783590</v>
      </c>
      <c r="J21">
        <f>VLOOKUP(A21,[21]Sheet1!$B:$B,1,0)</f>
        <v>62419</v>
      </c>
    </row>
    <row r="22" spans="1:10">
      <c r="A22" s="232">
        <v>62590</v>
      </c>
      <c r="B22" s="46"/>
      <c r="C22" s="46"/>
      <c r="D22" s="46">
        <v>503403.97000000003</v>
      </c>
      <c r="E22" s="46"/>
      <c r="F22" s="46"/>
      <c r="G22" s="46"/>
      <c r="H22" s="46"/>
      <c r="I22" s="46">
        <v>503403.97000000003</v>
      </c>
      <c r="J22" t="e">
        <f>VLOOKUP(A22,'[20]Actual Y25'!$A:$R,19,0)</f>
        <v>#N/A</v>
      </c>
    </row>
    <row r="23" spans="1:10">
      <c r="A23" s="232">
        <v>62605</v>
      </c>
      <c r="B23" s="46"/>
      <c r="C23" s="46"/>
      <c r="D23" s="46"/>
      <c r="E23" s="46">
        <v>860370</v>
      </c>
      <c r="F23" s="46"/>
      <c r="G23" s="46"/>
      <c r="H23" s="46"/>
      <c r="I23" s="46">
        <v>860370</v>
      </c>
      <c r="J23" t="e">
        <f>VLOOKUP(A23,'[20]Actual Y25'!$A:$R,19,0)</f>
        <v>#N/A</v>
      </c>
    </row>
    <row r="24" spans="1:10" hidden="1">
      <c r="A24" s="232">
        <v>62606</v>
      </c>
      <c r="B24" s="46"/>
      <c r="C24" s="46"/>
      <c r="D24" s="46"/>
      <c r="E24" s="46">
        <v>399446</v>
      </c>
      <c r="F24" s="46"/>
      <c r="G24" s="46"/>
      <c r="H24" s="46"/>
      <c r="I24" s="46">
        <v>399446</v>
      </c>
      <c r="J24" t="e">
        <f>VLOOKUP(A24,'[20]Actual Y25'!$A:$R,19,0)</f>
        <v>#REF!</v>
      </c>
    </row>
    <row r="25" spans="1:10" hidden="1">
      <c r="A25" s="232">
        <v>62639</v>
      </c>
      <c r="B25" s="46"/>
      <c r="C25" s="46"/>
      <c r="D25" s="46"/>
      <c r="E25" s="46"/>
      <c r="F25" s="46"/>
      <c r="G25" s="46">
        <v>388470.74000000005</v>
      </c>
      <c r="H25" s="46"/>
      <c r="I25" s="46">
        <v>388470.74000000005</v>
      </c>
      <c r="J25">
        <f>VLOOKUP(A25,[21]Sheet1!$B:$B,1,0)</f>
        <v>62639</v>
      </c>
    </row>
    <row r="26" spans="1:10">
      <c r="A26" s="232">
        <v>62686</v>
      </c>
      <c r="B26" s="46"/>
      <c r="C26" s="46"/>
      <c r="D26" s="46"/>
      <c r="E26" s="46">
        <v>17006.5</v>
      </c>
      <c r="F26" s="46"/>
      <c r="G26" s="46"/>
      <c r="H26" s="46"/>
      <c r="I26" s="46">
        <v>17006.5</v>
      </c>
      <c r="J26" t="e">
        <f>VLOOKUP(A26,'[20]Actual Y25'!$A:$R,19,0)</f>
        <v>#N/A</v>
      </c>
    </row>
    <row r="27" spans="1:10">
      <c r="A27" s="232">
        <v>62775</v>
      </c>
      <c r="B27" s="46"/>
      <c r="C27" s="46"/>
      <c r="D27" s="46"/>
      <c r="E27" s="46">
        <v>1300000</v>
      </c>
      <c r="F27" s="46"/>
      <c r="G27" s="46"/>
      <c r="H27" s="46"/>
      <c r="I27" s="46">
        <v>1300000</v>
      </c>
      <c r="J27" t="e">
        <f>VLOOKUP(A27,'[20]Actual Y25'!$A:$R,19,0)</f>
        <v>#REF!</v>
      </c>
    </row>
    <row r="28" spans="1:10" hidden="1">
      <c r="A28" s="232">
        <v>63414</v>
      </c>
      <c r="B28" s="46">
        <v>439473.69000000006</v>
      </c>
      <c r="C28" s="46"/>
      <c r="D28" s="46"/>
      <c r="E28" s="46"/>
      <c r="F28" s="46"/>
      <c r="G28" s="46"/>
      <c r="H28" s="46"/>
      <c r="I28" s="46">
        <v>439473.69000000006</v>
      </c>
      <c r="J28">
        <f>VLOOKUP(A28,[21]Sheet1!$B:$B,1,0)</f>
        <v>63414</v>
      </c>
    </row>
    <row r="29" spans="1:10" hidden="1">
      <c r="A29" s="232">
        <v>63459</v>
      </c>
      <c r="B29" s="46"/>
      <c r="C29" s="46">
        <v>539092.31000000006</v>
      </c>
      <c r="D29" s="46"/>
      <c r="E29" s="46"/>
      <c r="F29" s="46"/>
      <c r="G29" s="46"/>
      <c r="H29" s="46"/>
      <c r="I29" s="46">
        <v>539092.31000000006</v>
      </c>
      <c r="J29">
        <f>VLOOKUP(A29,[21]Sheet1!$B:$B,1,0)</f>
        <v>63459</v>
      </c>
    </row>
    <row r="30" spans="1:10">
      <c r="A30" s="232">
        <v>63570</v>
      </c>
      <c r="B30" s="46"/>
      <c r="C30" s="46">
        <v>1300000</v>
      </c>
      <c r="D30" s="46"/>
      <c r="E30" s="46"/>
      <c r="F30" s="46"/>
      <c r="G30" s="46"/>
      <c r="H30" s="46"/>
      <c r="I30" s="46">
        <v>1300000</v>
      </c>
      <c r="J30" t="e">
        <f>VLOOKUP(A30,'[20]Actual Y25'!$A:$R,19,0)</f>
        <v>#REF!</v>
      </c>
    </row>
    <row r="31" spans="1:10">
      <c r="A31" s="232">
        <v>63600</v>
      </c>
      <c r="B31" s="46"/>
      <c r="C31" s="46">
        <v>150500</v>
      </c>
      <c r="D31" s="46"/>
      <c r="E31" s="46"/>
      <c r="F31" s="46"/>
      <c r="G31" s="46"/>
      <c r="H31" s="46"/>
      <c r="I31" s="46">
        <v>150500</v>
      </c>
      <c r="J31" t="e">
        <f>VLOOKUP(A31,'[20]Actual Y25'!$A:$R,19,0)</f>
        <v>#REF!</v>
      </c>
    </row>
    <row r="32" spans="1:10" hidden="1">
      <c r="A32" s="232" t="s">
        <v>115</v>
      </c>
      <c r="B32" s="46">
        <v>878179.65</v>
      </c>
      <c r="C32" s="46">
        <v>2304279.3600000003</v>
      </c>
      <c r="D32" s="46">
        <v>2014619.56</v>
      </c>
      <c r="E32" s="46">
        <v>10024253.5</v>
      </c>
      <c r="F32" s="46">
        <v>17497875.219999999</v>
      </c>
      <c r="G32" s="46">
        <v>3460909.0400000019</v>
      </c>
      <c r="H32" s="46">
        <v>31983258.479999997</v>
      </c>
      <c r="I32" s="46">
        <v>68163374.810000002</v>
      </c>
    </row>
  </sheetData>
  <autoFilter ref="A4:J32" xr:uid="{00000000-0009-0000-0000-000005000000}">
    <filterColumn colId="9">
      <filters>
        <filter val="#N/A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0"/>
  <sheetViews>
    <sheetView workbookViewId="0">
      <selection activeCell="F1" sqref="F1"/>
    </sheetView>
  </sheetViews>
  <sheetFormatPr defaultRowHeight="12.5"/>
  <cols>
    <col min="1" max="1" width="6" bestFit="1" customWidth="1"/>
    <col min="2" max="2" width="33.36328125" bestFit="1" customWidth="1"/>
    <col min="3" max="3" width="7.54296875" bestFit="1" customWidth="1"/>
    <col min="4" max="4" width="14.08984375" bestFit="1" customWidth="1"/>
    <col min="5" max="5" width="7.36328125" bestFit="1" customWidth="1"/>
    <col min="6" max="6" width="20.6328125" bestFit="1" customWidth="1"/>
    <col min="12" max="12" width="38.54296875" bestFit="1" customWidth="1"/>
    <col min="13" max="13" width="16.1796875" customWidth="1"/>
    <col min="14" max="14" width="10.453125" customWidth="1"/>
    <col min="15" max="16" width="11.453125" customWidth="1"/>
    <col min="17" max="17" width="10.453125" customWidth="1"/>
    <col min="18" max="18" width="8.90625" customWidth="1"/>
    <col min="19" max="19" width="10.453125" customWidth="1"/>
    <col min="20" max="20" width="11.453125" customWidth="1"/>
  </cols>
  <sheetData>
    <row r="1" spans="1:20" ht="15.5">
      <c r="A1" s="221" t="s">
        <v>99</v>
      </c>
      <c r="B1" s="222" t="s">
        <v>100</v>
      </c>
      <c r="C1" s="223" t="s">
        <v>101</v>
      </c>
      <c r="D1" s="224" t="s">
        <v>102</v>
      </c>
      <c r="E1" s="224" t="s">
        <v>103</v>
      </c>
      <c r="F1" s="224" t="s">
        <v>104</v>
      </c>
    </row>
    <row r="2" spans="1:20">
      <c r="A2" s="225">
        <v>61110</v>
      </c>
      <c r="B2" s="226">
        <v>143989.56</v>
      </c>
      <c r="C2" s="227" t="s">
        <v>31</v>
      </c>
      <c r="D2" s="228">
        <v>4700</v>
      </c>
      <c r="E2" s="228" t="s">
        <v>105</v>
      </c>
      <c r="F2" s="228" t="s">
        <v>106</v>
      </c>
    </row>
    <row r="3" spans="1:20">
      <c r="A3" s="225">
        <v>61991</v>
      </c>
      <c r="B3" s="226">
        <v>1170000</v>
      </c>
      <c r="C3" s="227" t="s">
        <v>31</v>
      </c>
      <c r="D3" s="228">
        <v>4700</v>
      </c>
      <c r="E3" s="228" t="s">
        <v>105</v>
      </c>
      <c r="F3" s="228" t="s">
        <v>106</v>
      </c>
    </row>
    <row r="4" spans="1:20">
      <c r="A4" s="225">
        <v>61574</v>
      </c>
      <c r="B4" s="226">
        <v>30669268.919999998</v>
      </c>
      <c r="C4" s="227" t="s">
        <v>31</v>
      </c>
      <c r="D4" s="228">
        <v>4700</v>
      </c>
      <c r="E4" s="228" t="s">
        <v>105</v>
      </c>
      <c r="F4" s="228" t="s">
        <v>106</v>
      </c>
    </row>
    <row r="5" spans="1:20">
      <c r="A5" s="225">
        <v>60705</v>
      </c>
      <c r="B5" s="226">
        <v>125310</v>
      </c>
      <c r="C5" s="227" t="s">
        <v>31</v>
      </c>
      <c r="D5" s="228">
        <v>4700</v>
      </c>
      <c r="E5" s="228" t="s">
        <v>107</v>
      </c>
      <c r="F5" s="228" t="s">
        <v>108</v>
      </c>
    </row>
    <row r="6" spans="1:20">
      <c r="A6" s="225">
        <v>62107</v>
      </c>
      <c r="B6" s="226">
        <v>317149.86000000004</v>
      </c>
      <c r="C6" s="227" t="s">
        <v>31</v>
      </c>
      <c r="D6" s="228">
        <v>4700</v>
      </c>
      <c r="E6" s="228" t="s">
        <v>107</v>
      </c>
      <c r="F6" s="228" t="s">
        <v>106</v>
      </c>
    </row>
    <row r="7" spans="1:20">
      <c r="A7" s="225">
        <v>62590</v>
      </c>
      <c r="B7" s="226">
        <v>503403.97000000003</v>
      </c>
      <c r="C7" s="227" t="s">
        <v>31</v>
      </c>
      <c r="D7" s="228">
        <v>4700</v>
      </c>
      <c r="E7" s="228" t="s">
        <v>107</v>
      </c>
      <c r="F7" s="228" t="s">
        <v>106</v>
      </c>
    </row>
    <row r="8" spans="1:20">
      <c r="A8" s="225">
        <v>60875</v>
      </c>
      <c r="B8" s="226">
        <v>1068755.73</v>
      </c>
      <c r="C8" s="227" t="s">
        <v>31</v>
      </c>
      <c r="D8" s="228">
        <v>4700</v>
      </c>
      <c r="E8" s="228" t="s">
        <v>107</v>
      </c>
      <c r="F8" s="228" t="s">
        <v>106</v>
      </c>
    </row>
    <row r="9" spans="1:20">
      <c r="A9" s="225">
        <v>58021</v>
      </c>
      <c r="B9" s="226">
        <v>15285</v>
      </c>
      <c r="C9" s="227" t="s">
        <v>31</v>
      </c>
      <c r="D9" s="228">
        <v>4700</v>
      </c>
      <c r="E9" s="228" t="s">
        <v>109</v>
      </c>
      <c r="F9" s="228" t="s">
        <v>106</v>
      </c>
    </row>
    <row r="10" spans="1:20">
      <c r="A10" s="225">
        <v>62686</v>
      </c>
      <c r="B10" s="226">
        <v>17006.5</v>
      </c>
      <c r="C10" s="227" t="s">
        <v>31</v>
      </c>
      <c r="D10" s="228">
        <v>4700</v>
      </c>
      <c r="E10" s="228" t="s">
        <v>109</v>
      </c>
      <c r="F10" s="228" t="s">
        <v>106</v>
      </c>
    </row>
    <row r="11" spans="1:20">
      <c r="A11" s="225">
        <v>62606</v>
      </c>
      <c r="B11" s="226">
        <v>399446</v>
      </c>
      <c r="C11" s="227" t="s">
        <v>31</v>
      </c>
      <c r="D11" s="228">
        <v>4700</v>
      </c>
      <c r="E11" s="228" t="s">
        <v>109</v>
      </c>
      <c r="F11" s="228" t="s">
        <v>106</v>
      </c>
    </row>
    <row r="12" spans="1:20">
      <c r="A12" s="225">
        <v>62312</v>
      </c>
      <c r="B12" s="226">
        <v>698556</v>
      </c>
      <c r="C12" s="227" t="s">
        <v>31</v>
      </c>
      <c r="D12" s="228">
        <v>4700</v>
      </c>
      <c r="E12" s="228" t="s">
        <v>109</v>
      </c>
      <c r="F12" s="228" t="s">
        <v>106</v>
      </c>
    </row>
    <row r="13" spans="1:20">
      <c r="A13" s="225">
        <v>62605</v>
      </c>
      <c r="B13" s="226">
        <v>860370</v>
      </c>
      <c r="C13" s="227" t="s">
        <v>31</v>
      </c>
      <c r="D13" s="228">
        <v>4700</v>
      </c>
      <c r="E13" s="228" t="s">
        <v>109</v>
      </c>
      <c r="F13" s="228" t="s">
        <v>106</v>
      </c>
    </row>
    <row r="14" spans="1:20">
      <c r="A14" s="225">
        <v>62775</v>
      </c>
      <c r="B14" s="226">
        <v>1300000</v>
      </c>
      <c r="C14" s="227" t="s">
        <v>31</v>
      </c>
      <c r="D14" s="228">
        <v>4700</v>
      </c>
      <c r="E14" s="228" t="s">
        <v>109</v>
      </c>
      <c r="F14" s="228" t="s">
        <v>106</v>
      </c>
    </row>
    <row r="15" spans="1:20">
      <c r="A15" s="225">
        <v>60080</v>
      </c>
      <c r="B15" s="226">
        <v>1950000</v>
      </c>
      <c r="C15" s="227" t="s">
        <v>31</v>
      </c>
      <c r="D15" s="228">
        <v>4700</v>
      </c>
      <c r="E15" s="228" t="s">
        <v>109</v>
      </c>
      <c r="F15" s="228" t="s">
        <v>106</v>
      </c>
    </row>
    <row r="16" spans="1:20">
      <c r="A16" s="225">
        <v>62419</v>
      </c>
      <c r="B16" s="226">
        <v>4783590</v>
      </c>
      <c r="C16" s="227" t="s">
        <v>31</v>
      </c>
      <c r="D16" s="228">
        <v>4700</v>
      </c>
      <c r="E16" s="228" t="s">
        <v>109</v>
      </c>
      <c r="F16" s="228" t="s">
        <v>106</v>
      </c>
      <c r="L16" s="232"/>
      <c r="M16" s="46"/>
      <c r="N16" s="46"/>
      <c r="O16" s="46"/>
      <c r="P16" s="46"/>
      <c r="Q16" s="46"/>
      <c r="R16" s="46"/>
      <c r="S16" s="46"/>
      <c r="T16" s="46"/>
    </row>
    <row r="17" spans="1:20">
      <c r="A17" s="225">
        <v>58382</v>
      </c>
      <c r="B17" s="229">
        <v>88455</v>
      </c>
      <c r="C17" s="227" t="s">
        <v>31</v>
      </c>
      <c r="D17" s="228">
        <v>4700</v>
      </c>
      <c r="E17" s="228" t="s">
        <v>110</v>
      </c>
      <c r="F17" s="228" t="s">
        <v>106</v>
      </c>
      <c r="L17" s="232"/>
      <c r="M17" s="46"/>
      <c r="N17" s="46"/>
      <c r="O17" s="46"/>
      <c r="P17" s="46"/>
      <c r="Q17" s="46"/>
      <c r="R17" s="46"/>
      <c r="S17" s="46"/>
      <c r="T17" s="46"/>
    </row>
    <row r="18" spans="1:20">
      <c r="A18" s="225">
        <v>62273</v>
      </c>
      <c r="B18" s="229">
        <v>145350</v>
      </c>
      <c r="C18" s="227" t="s">
        <v>31</v>
      </c>
      <c r="D18" s="228">
        <v>4700</v>
      </c>
      <c r="E18" s="228" t="s">
        <v>110</v>
      </c>
      <c r="F18" s="228" t="s">
        <v>108</v>
      </c>
    </row>
    <row r="19" spans="1:20">
      <c r="A19" s="225">
        <v>62107</v>
      </c>
      <c r="B19" s="229">
        <v>242549.26000000004</v>
      </c>
      <c r="C19" s="227" t="s">
        <v>31</v>
      </c>
      <c r="D19" s="228">
        <v>4700</v>
      </c>
      <c r="E19" s="228" t="s">
        <v>110</v>
      </c>
      <c r="F19" s="228" t="s">
        <v>106</v>
      </c>
    </row>
    <row r="20" spans="1:20">
      <c r="A20" s="225">
        <v>60875</v>
      </c>
      <c r="B20" s="226">
        <v>600196.58000000007</v>
      </c>
      <c r="C20" s="227" t="s">
        <v>31</v>
      </c>
      <c r="D20" s="228">
        <v>4700</v>
      </c>
      <c r="E20" s="228" t="s">
        <v>110</v>
      </c>
      <c r="F20" s="228" t="s">
        <v>106</v>
      </c>
    </row>
    <row r="21" spans="1:20">
      <c r="A21" s="225">
        <v>60080</v>
      </c>
      <c r="B21" s="226">
        <v>975000</v>
      </c>
      <c r="C21" s="227" t="s">
        <v>31</v>
      </c>
      <c r="D21" s="228">
        <v>4700</v>
      </c>
      <c r="E21" s="228" t="s">
        <v>110</v>
      </c>
      <c r="F21" s="228" t="s">
        <v>106</v>
      </c>
    </row>
    <row r="22" spans="1:20">
      <c r="A22" s="225">
        <v>61639</v>
      </c>
      <c r="B22" s="226">
        <v>1075002.1499999999</v>
      </c>
      <c r="C22" s="227" t="s">
        <v>31</v>
      </c>
      <c r="D22" s="228">
        <v>4700</v>
      </c>
      <c r="E22" s="228" t="s">
        <v>110</v>
      </c>
      <c r="F22" s="228" t="s">
        <v>106</v>
      </c>
    </row>
    <row r="23" spans="1:20">
      <c r="A23" s="230">
        <v>61612</v>
      </c>
      <c r="B23" s="229">
        <v>14371322.229999999</v>
      </c>
      <c r="C23" s="227" t="s">
        <v>31</v>
      </c>
      <c r="D23" s="228">
        <v>4700</v>
      </c>
      <c r="E23" s="228" t="s">
        <v>110</v>
      </c>
      <c r="F23" s="228" t="s">
        <v>106</v>
      </c>
    </row>
    <row r="24" spans="1:20">
      <c r="A24" s="225">
        <v>55569</v>
      </c>
      <c r="B24" s="226">
        <v>-32697.999999998206</v>
      </c>
      <c r="C24" s="227" t="s">
        <v>31</v>
      </c>
      <c r="D24" s="228">
        <v>4700</v>
      </c>
      <c r="E24" s="228" t="s">
        <v>71</v>
      </c>
      <c r="F24" s="228" t="s">
        <v>106</v>
      </c>
    </row>
    <row r="25" spans="1:20">
      <c r="A25" s="225">
        <v>54586</v>
      </c>
      <c r="B25" s="226">
        <v>-18750</v>
      </c>
      <c r="C25" s="227" t="s">
        <v>31</v>
      </c>
      <c r="D25" s="228">
        <v>4700</v>
      </c>
      <c r="E25" s="228" t="s">
        <v>71</v>
      </c>
      <c r="F25" s="228" t="s">
        <v>106</v>
      </c>
    </row>
    <row r="26" spans="1:20">
      <c r="A26" s="225">
        <v>61110</v>
      </c>
      <c r="B26" s="226">
        <v>43191.72</v>
      </c>
      <c r="C26" s="227" t="s">
        <v>31</v>
      </c>
      <c r="D26" s="228">
        <v>4700</v>
      </c>
      <c r="E26" s="228" t="s">
        <v>71</v>
      </c>
      <c r="F26" s="228" t="s">
        <v>106</v>
      </c>
    </row>
    <row r="27" spans="1:20">
      <c r="A27" s="225">
        <v>62107</v>
      </c>
      <c r="B27" s="226">
        <v>260034.62</v>
      </c>
      <c r="C27" s="227" t="s">
        <v>31</v>
      </c>
      <c r="D27" s="228">
        <v>4700</v>
      </c>
      <c r="E27" s="228" t="s">
        <v>71</v>
      </c>
      <c r="F27" s="228" t="s">
        <v>106</v>
      </c>
    </row>
    <row r="28" spans="1:20">
      <c r="A28" s="225">
        <v>62639</v>
      </c>
      <c r="B28" s="226">
        <v>388470.74000000005</v>
      </c>
      <c r="C28" s="227" t="s">
        <v>31</v>
      </c>
      <c r="D28" s="228">
        <v>4700</v>
      </c>
      <c r="E28" s="228" t="s">
        <v>71</v>
      </c>
      <c r="F28" s="228" t="s">
        <v>106</v>
      </c>
    </row>
    <row r="29" spans="1:20">
      <c r="A29" s="225">
        <v>60875</v>
      </c>
      <c r="B29" s="226">
        <v>670655.65999999992</v>
      </c>
      <c r="C29" s="227" t="s">
        <v>31</v>
      </c>
      <c r="D29" s="228">
        <v>4700</v>
      </c>
      <c r="E29" s="228" t="s">
        <v>71</v>
      </c>
      <c r="F29" s="228" t="s">
        <v>106</v>
      </c>
    </row>
    <row r="30" spans="1:20">
      <c r="A30" s="225">
        <v>61639</v>
      </c>
      <c r="B30" s="226">
        <v>2150004.2999999998</v>
      </c>
      <c r="C30" s="227" t="s">
        <v>31</v>
      </c>
      <c r="D30" s="228">
        <v>4700</v>
      </c>
      <c r="E30" s="228" t="s">
        <v>71</v>
      </c>
      <c r="F30" s="228" t="s">
        <v>106</v>
      </c>
    </row>
    <row r="31" spans="1:20">
      <c r="A31" s="225">
        <v>62417</v>
      </c>
      <c r="B31" s="226">
        <v>179438.46</v>
      </c>
      <c r="C31" s="227" t="s">
        <v>31</v>
      </c>
      <c r="D31" s="228">
        <v>4700</v>
      </c>
      <c r="E31" s="228" t="s">
        <v>111</v>
      </c>
      <c r="F31" s="228" t="s">
        <v>106</v>
      </c>
    </row>
    <row r="32" spans="1:20">
      <c r="A32" s="225">
        <v>62312</v>
      </c>
      <c r="B32" s="226">
        <v>259267.5</v>
      </c>
      <c r="C32" s="227" t="s">
        <v>31</v>
      </c>
      <c r="D32" s="228">
        <v>4700</v>
      </c>
      <c r="E32" s="228" t="s">
        <v>111</v>
      </c>
      <c r="F32" s="228" t="s">
        <v>106</v>
      </c>
    </row>
    <row r="33" spans="1:6">
      <c r="A33" s="225">
        <v>63414</v>
      </c>
      <c r="B33" s="226">
        <v>439473.69000000006</v>
      </c>
      <c r="C33" s="227" t="s">
        <v>31</v>
      </c>
      <c r="D33" s="228">
        <v>4700</v>
      </c>
      <c r="E33" s="228" t="s">
        <v>111</v>
      </c>
      <c r="F33" s="228" t="s">
        <v>108</v>
      </c>
    </row>
    <row r="34" spans="1:6">
      <c r="A34" s="225">
        <v>62312</v>
      </c>
      <c r="B34" s="226">
        <v>-776.25</v>
      </c>
      <c r="C34" s="227" t="s">
        <v>31</v>
      </c>
      <c r="D34" s="228">
        <v>4700</v>
      </c>
      <c r="E34" s="228" t="s">
        <v>112</v>
      </c>
      <c r="F34" s="228" t="s">
        <v>106</v>
      </c>
    </row>
    <row r="35" spans="1:6">
      <c r="A35" s="225">
        <v>60875</v>
      </c>
      <c r="B35" s="226">
        <v>37631.430000000008</v>
      </c>
      <c r="C35" s="227" t="s">
        <v>31</v>
      </c>
      <c r="D35" s="228">
        <v>4700</v>
      </c>
      <c r="E35" s="228" t="s">
        <v>112</v>
      </c>
      <c r="F35" s="228" t="s">
        <v>106</v>
      </c>
    </row>
    <row r="36" spans="1:6">
      <c r="A36" s="225">
        <v>63600</v>
      </c>
      <c r="B36" s="226">
        <v>150500</v>
      </c>
      <c r="C36" s="227" t="s">
        <v>31</v>
      </c>
      <c r="D36" s="228">
        <v>4700</v>
      </c>
      <c r="E36" s="228" t="s">
        <v>112</v>
      </c>
      <c r="F36" s="228" t="s">
        <v>106</v>
      </c>
    </row>
    <row r="37" spans="1:6">
      <c r="A37" s="225">
        <v>62107</v>
      </c>
      <c r="B37" s="226">
        <v>277831.87</v>
      </c>
      <c r="C37" s="227" t="s">
        <v>31</v>
      </c>
      <c r="D37" s="228">
        <v>4700</v>
      </c>
      <c r="E37" s="228" t="s">
        <v>112</v>
      </c>
      <c r="F37" s="228" t="s">
        <v>106</v>
      </c>
    </row>
    <row r="38" spans="1:6">
      <c r="A38" s="225">
        <v>63459</v>
      </c>
      <c r="B38" s="226">
        <v>539092.31000000006</v>
      </c>
      <c r="C38" s="227" t="s">
        <v>31</v>
      </c>
      <c r="D38" s="228">
        <v>4700</v>
      </c>
      <c r="E38" s="228" t="s">
        <v>112</v>
      </c>
      <c r="F38" s="228" t="s">
        <v>108</v>
      </c>
    </row>
    <row r="39" spans="1:6">
      <c r="A39" s="225">
        <v>63570</v>
      </c>
      <c r="B39" s="226">
        <v>1300000</v>
      </c>
      <c r="C39" s="227" t="s">
        <v>31</v>
      </c>
      <c r="D39" s="228">
        <v>4700</v>
      </c>
      <c r="E39" s="228" t="s">
        <v>112</v>
      </c>
      <c r="F39" s="228" t="s">
        <v>106</v>
      </c>
    </row>
    <row r="40" spans="1:6" ht="13">
      <c r="B40" s="231">
        <f>SUM(B2:B39)</f>
        <v>68163374.809999973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C5:N23"/>
  <sheetViews>
    <sheetView workbookViewId="0">
      <selection activeCell="H24" sqref="H24"/>
    </sheetView>
  </sheetViews>
  <sheetFormatPr defaultRowHeight="12.5"/>
  <cols>
    <col min="3" max="3" width="15.90625" customWidth="1"/>
    <col min="4" max="4" width="13.54296875" customWidth="1"/>
    <col min="5" max="5" width="13.36328125" customWidth="1"/>
    <col min="6" max="6" width="15.08984375" customWidth="1"/>
    <col min="7" max="7" width="0.90625" customWidth="1"/>
    <col min="8" max="8" width="14.54296875" customWidth="1"/>
    <col min="9" max="9" width="13.08984375" customWidth="1"/>
    <col min="10" max="10" width="15.08984375" customWidth="1"/>
    <col min="11" max="11" width="1" customWidth="1"/>
    <col min="12" max="12" width="10.90625" customWidth="1"/>
    <col min="13" max="13" width="15.6328125" customWidth="1"/>
  </cols>
  <sheetData>
    <row r="5" spans="3:14" ht="13" thickBot="1"/>
    <row r="6" spans="3:14" ht="35" thickBot="1">
      <c r="C6" s="80" t="s">
        <v>34</v>
      </c>
      <c r="D6" s="83">
        <v>2019</v>
      </c>
      <c r="E6" s="83" t="s">
        <v>35</v>
      </c>
      <c r="F6" s="83" t="s">
        <v>36</v>
      </c>
      <c r="G6" s="82"/>
      <c r="H6" s="83">
        <v>2020</v>
      </c>
      <c r="I6" s="83" t="s">
        <v>35</v>
      </c>
      <c r="J6" s="83" t="s">
        <v>37</v>
      </c>
      <c r="K6" s="82"/>
      <c r="L6" s="83" t="s">
        <v>38</v>
      </c>
      <c r="M6" s="83" t="s">
        <v>44</v>
      </c>
    </row>
    <row r="7" spans="3:14" ht="13">
      <c r="C7" s="87" t="s">
        <v>39</v>
      </c>
      <c r="D7" s="88">
        <v>2301793</v>
      </c>
      <c r="E7" s="89">
        <v>-129000</v>
      </c>
      <c r="F7" s="88">
        <v>2172793</v>
      </c>
      <c r="G7" s="81"/>
      <c r="H7" s="88">
        <v>2487396</v>
      </c>
      <c r="I7" s="89">
        <v>-133000</v>
      </c>
      <c r="J7" s="88">
        <v>2354396</v>
      </c>
      <c r="K7" s="81"/>
      <c r="L7" s="93">
        <v>0.08</v>
      </c>
      <c r="M7" s="88">
        <v>18344</v>
      </c>
      <c r="N7" s="94"/>
    </row>
    <row r="8" spans="3:14" ht="13">
      <c r="C8" s="87" t="s">
        <v>9</v>
      </c>
      <c r="D8" s="88">
        <v>459439</v>
      </c>
      <c r="E8" s="89">
        <v>-40000</v>
      </c>
      <c r="F8" s="88">
        <v>419439</v>
      </c>
      <c r="G8" s="81"/>
      <c r="H8" s="88">
        <v>374624</v>
      </c>
      <c r="I8" s="89">
        <v>-10000</v>
      </c>
      <c r="J8" s="88">
        <v>364624</v>
      </c>
      <c r="K8" s="81"/>
      <c r="L8" s="93">
        <v>-0.13</v>
      </c>
      <c r="M8" s="88">
        <v>4015</v>
      </c>
    </row>
    <row r="9" spans="3:14" ht="13">
      <c r="C9" s="87" t="s">
        <v>40</v>
      </c>
      <c r="D9" s="88">
        <v>23949</v>
      </c>
      <c r="E9" s="90"/>
      <c r="F9" s="88">
        <v>23949</v>
      </c>
      <c r="G9" s="81"/>
      <c r="H9" s="88">
        <v>30982</v>
      </c>
      <c r="I9" s="91"/>
      <c r="J9" s="95">
        <v>30982</v>
      </c>
      <c r="K9" s="81"/>
      <c r="L9" s="93">
        <v>0.28999999999999998</v>
      </c>
      <c r="M9" s="95"/>
    </row>
    <row r="10" spans="3:14" ht="13">
      <c r="C10" s="87" t="s">
        <v>33</v>
      </c>
      <c r="D10" s="88">
        <v>14406</v>
      </c>
      <c r="E10" s="91"/>
      <c r="F10" s="88">
        <v>14406</v>
      </c>
      <c r="G10" s="81"/>
      <c r="H10" s="88">
        <v>19895</v>
      </c>
      <c r="I10" s="89">
        <v>-10000</v>
      </c>
      <c r="J10" s="95">
        <v>9895</v>
      </c>
      <c r="K10" s="81"/>
      <c r="L10" s="93">
        <v>-0.31</v>
      </c>
      <c r="M10" s="95"/>
    </row>
    <row r="11" spans="3:14" ht="13">
      <c r="C11" s="87" t="s">
        <v>41</v>
      </c>
      <c r="D11" s="88">
        <v>16467</v>
      </c>
      <c r="E11" s="89">
        <v>-6000</v>
      </c>
      <c r="F11" s="88">
        <v>10467</v>
      </c>
      <c r="G11" s="81"/>
      <c r="H11" s="88">
        <v>40043</v>
      </c>
      <c r="I11" s="89">
        <v>-10000</v>
      </c>
      <c r="J11" s="95">
        <v>30043</v>
      </c>
      <c r="K11" s="81"/>
      <c r="L11" s="93">
        <v>1.87</v>
      </c>
      <c r="M11" s="95"/>
    </row>
    <row r="12" spans="3:14" ht="13">
      <c r="C12" s="87" t="s">
        <v>42</v>
      </c>
      <c r="D12" s="88">
        <v>71452</v>
      </c>
      <c r="E12" s="89">
        <v>-5000</v>
      </c>
      <c r="F12" s="88">
        <v>66452</v>
      </c>
      <c r="G12" s="81"/>
      <c r="H12" s="88">
        <v>83507</v>
      </c>
      <c r="I12" s="89">
        <v>-10000</v>
      </c>
      <c r="J12" s="88">
        <v>73507</v>
      </c>
      <c r="K12" s="81"/>
      <c r="L12" s="93">
        <v>0.11</v>
      </c>
      <c r="M12" s="88"/>
    </row>
    <row r="13" spans="3:14" ht="13.5" thickBot="1">
      <c r="C13" s="87" t="s">
        <v>43</v>
      </c>
      <c r="D13" s="88">
        <v>95288</v>
      </c>
      <c r="E13" s="91"/>
      <c r="F13" s="88">
        <v>95288</v>
      </c>
      <c r="G13" s="81"/>
      <c r="H13" s="88">
        <v>115200</v>
      </c>
      <c r="I13" s="89">
        <v>-7000</v>
      </c>
      <c r="J13" s="88">
        <v>108200</v>
      </c>
      <c r="K13" s="81"/>
      <c r="L13" s="93">
        <v>0.14000000000000001</v>
      </c>
      <c r="M13" s="88"/>
    </row>
    <row r="14" spans="3:14" ht="13.5" thickBot="1">
      <c r="C14" s="84" t="s">
        <v>0</v>
      </c>
      <c r="D14" s="85">
        <v>2982794</v>
      </c>
      <c r="E14" s="92">
        <v>-180000</v>
      </c>
      <c r="F14" s="85">
        <v>2802794</v>
      </c>
      <c r="G14" s="81"/>
      <c r="H14" s="85">
        <v>3151648</v>
      </c>
      <c r="I14" s="92">
        <v>-180000</v>
      </c>
      <c r="J14" s="85">
        <v>2971648</v>
      </c>
      <c r="K14" s="81"/>
      <c r="L14" s="86">
        <v>0.06</v>
      </c>
      <c r="M14" s="85">
        <f>SUM(M7:M13)</f>
        <v>22359</v>
      </c>
    </row>
    <row r="16" spans="3:14">
      <c r="J16" s="96"/>
    </row>
    <row r="17" spans="10:10">
      <c r="J17" s="96"/>
    </row>
    <row r="18" spans="10:10">
      <c r="J18" s="96"/>
    </row>
    <row r="19" spans="10:10">
      <c r="J19" s="96"/>
    </row>
    <row r="20" spans="10:10">
      <c r="J20" s="96"/>
    </row>
    <row r="21" spans="10:10">
      <c r="J21" s="96"/>
    </row>
    <row r="22" spans="10:10">
      <c r="J22" s="96"/>
    </row>
    <row r="23" spans="10:10">
      <c r="J23" s="96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D3:S55"/>
  <sheetViews>
    <sheetView topLeftCell="A19" workbookViewId="0">
      <selection activeCell="J12" sqref="J12"/>
    </sheetView>
  </sheetViews>
  <sheetFormatPr defaultRowHeight="12.5"/>
  <cols>
    <col min="4" max="4" width="26.36328125" customWidth="1"/>
    <col min="5" max="5" width="9.6328125" customWidth="1"/>
    <col min="6" max="6" width="10" customWidth="1"/>
    <col min="7" max="7" width="7.6328125" customWidth="1"/>
    <col min="19" max="19" width="11.6328125" customWidth="1"/>
  </cols>
  <sheetData>
    <row r="3" spans="4:7" ht="13" thickBot="1"/>
    <row r="4" spans="4:7" ht="13.5" thickBot="1">
      <c r="D4" s="98" t="s">
        <v>17</v>
      </c>
      <c r="E4" s="101" t="s">
        <v>50</v>
      </c>
      <c r="F4" s="101" t="s">
        <v>49</v>
      </c>
      <c r="G4" s="101" t="s">
        <v>51</v>
      </c>
    </row>
    <row r="5" spans="4:7" ht="13.5" thickBot="1">
      <c r="D5" s="99" t="s">
        <v>21</v>
      </c>
      <c r="E5" s="99">
        <v>72</v>
      </c>
      <c r="F5" s="99">
        <v>41</v>
      </c>
      <c r="G5" s="99">
        <f>E5-F5</f>
        <v>31</v>
      </c>
    </row>
    <row r="6" spans="4:7" ht="13.5" thickBot="1">
      <c r="D6" s="99" t="s">
        <v>22</v>
      </c>
      <c r="E6" s="99">
        <v>10</v>
      </c>
      <c r="F6" s="99">
        <v>0</v>
      </c>
      <c r="G6" s="99">
        <f t="shared" ref="G6:G13" si="0">E6-F6</f>
        <v>10</v>
      </c>
    </row>
    <row r="7" spans="4:7" ht="13.5" thickBot="1">
      <c r="D7" s="99" t="s">
        <v>25</v>
      </c>
      <c r="E7" s="99">
        <v>10</v>
      </c>
      <c r="F7" s="99">
        <v>1</v>
      </c>
      <c r="G7" s="99">
        <f t="shared" si="0"/>
        <v>9</v>
      </c>
    </row>
    <row r="8" spans="4:7" ht="13.5" thickBot="1">
      <c r="D8" s="99" t="s">
        <v>47</v>
      </c>
      <c r="E8" s="99">
        <v>0.3</v>
      </c>
      <c r="F8" s="99">
        <v>0</v>
      </c>
      <c r="G8" s="99">
        <f t="shared" si="0"/>
        <v>0.3</v>
      </c>
    </row>
    <row r="9" spans="4:7" ht="13.5" thickBot="1">
      <c r="D9" s="99" t="s">
        <v>23</v>
      </c>
      <c r="E9" s="99">
        <v>20</v>
      </c>
      <c r="F9" s="99">
        <v>17.5</v>
      </c>
      <c r="G9" s="99">
        <f t="shared" si="0"/>
        <v>2.5</v>
      </c>
    </row>
    <row r="10" spans="4:7" ht="13.5" thickBot="1">
      <c r="D10" s="99" t="s">
        <v>24</v>
      </c>
      <c r="E10" s="99">
        <v>24</v>
      </c>
      <c r="F10" s="99">
        <v>1</v>
      </c>
      <c r="G10" s="99">
        <f t="shared" si="0"/>
        <v>23</v>
      </c>
    </row>
    <row r="11" spans="4:7" ht="13.5" thickBot="1">
      <c r="D11" s="99" t="s">
        <v>26</v>
      </c>
      <c r="E11" s="99">
        <v>29</v>
      </c>
      <c r="F11" s="99">
        <v>103.6</v>
      </c>
      <c r="G11" s="99">
        <f t="shared" si="0"/>
        <v>-74.599999999999994</v>
      </c>
    </row>
    <row r="12" spans="4:7" ht="13.5" thickBot="1">
      <c r="D12" s="99" t="s">
        <v>27</v>
      </c>
      <c r="E12" s="99">
        <v>3</v>
      </c>
      <c r="F12" s="99">
        <v>0</v>
      </c>
      <c r="G12" s="99">
        <f t="shared" si="0"/>
        <v>3</v>
      </c>
    </row>
    <row r="13" spans="4:7" ht="13.5" thickBot="1">
      <c r="D13" s="99" t="s">
        <v>48</v>
      </c>
      <c r="E13" s="99">
        <v>2</v>
      </c>
      <c r="F13" s="99">
        <v>0.5</v>
      </c>
      <c r="G13" s="99">
        <f t="shared" si="0"/>
        <v>1.5</v>
      </c>
    </row>
    <row r="14" spans="4:7" ht="13.5" thickBot="1">
      <c r="D14" s="100" t="s">
        <v>32</v>
      </c>
      <c r="E14" s="100">
        <f>SUM(E5:E13)</f>
        <v>170.3</v>
      </c>
      <c r="F14" s="102">
        <f>SUM(F5:F13)</f>
        <v>164.6</v>
      </c>
      <c r="G14" s="102">
        <f>SUM(G5:G13)</f>
        <v>5.7000000000000028</v>
      </c>
    </row>
    <row r="15" spans="4:7">
      <c r="G15" s="46"/>
    </row>
    <row r="16" spans="4:7" ht="13" thickBot="1"/>
    <row r="17" spans="4:17" ht="13.5" thickBot="1">
      <c r="D17" s="98" t="s">
        <v>17</v>
      </c>
      <c r="E17" s="101" t="s">
        <v>52</v>
      </c>
      <c r="F17" s="101" t="s">
        <v>53</v>
      </c>
      <c r="G17" s="101" t="s">
        <v>51</v>
      </c>
    </row>
    <row r="18" spans="4:17" ht="13.5" thickBot="1">
      <c r="D18" s="99" t="s">
        <v>21</v>
      </c>
      <c r="E18" s="103">
        <v>47.101250179999973</v>
      </c>
      <c r="F18" s="103">
        <v>47.134817600000012</v>
      </c>
      <c r="G18" s="105">
        <f>E18-F18</f>
        <v>-3.356742000003976E-2</v>
      </c>
    </row>
    <row r="19" spans="4:17" ht="13.5" thickBot="1">
      <c r="D19" s="99" t="s">
        <v>22</v>
      </c>
      <c r="E19" s="103">
        <v>9.0939597499999998</v>
      </c>
      <c r="F19" s="103">
        <v>12.765113219</v>
      </c>
      <c r="G19" s="105">
        <f t="shared" ref="G19:G26" si="1">E19-F19</f>
        <v>-3.6711534690000001</v>
      </c>
    </row>
    <row r="20" spans="4:17" ht="13.5" thickBot="1">
      <c r="D20" s="99" t="s">
        <v>25</v>
      </c>
      <c r="E20" s="103">
        <v>9.1259602199999996</v>
      </c>
      <c r="F20" s="103">
        <v>10.35</v>
      </c>
      <c r="G20" s="105">
        <f t="shared" si="1"/>
        <v>-1.22403978</v>
      </c>
    </row>
    <row r="21" spans="4:17" ht="13.5" thickBot="1">
      <c r="D21" s="99" t="s">
        <v>47</v>
      </c>
      <c r="E21" s="103">
        <v>4.7236054200000011</v>
      </c>
      <c r="F21" s="103">
        <v>2.2679999999999998</v>
      </c>
      <c r="G21" s="105">
        <f t="shared" si="1"/>
        <v>2.4556054200000013</v>
      </c>
    </row>
    <row r="22" spans="4:17" ht="13.5" thickBot="1">
      <c r="D22" s="99" t="s">
        <v>23</v>
      </c>
      <c r="E22" s="103">
        <v>31.599527060000007</v>
      </c>
      <c r="F22" s="103">
        <v>19.411503993333337</v>
      </c>
      <c r="G22" s="105">
        <f t="shared" si="1"/>
        <v>12.18802306666667</v>
      </c>
    </row>
    <row r="23" spans="4:17" ht="13.5" thickBot="1">
      <c r="D23" s="99" t="s">
        <v>24</v>
      </c>
      <c r="E23" s="103">
        <v>4.1292072300000005</v>
      </c>
      <c r="F23" s="103">
        <v>8.4492698000000015</v>
      </c>
      <c r="G23" s="105">
        <f t="shared" si="1"/>
        <v>-4.320062570000001</v>
      </c>
    </row>
    <row r="24" spans="4:17" ht="13.5" thickBot="1">
      <c r="D24" s="99" t="s">
        <v>26</v>
      </c>
      <c r="E24" s="103">
        <v>22.003952659999999</v>
      </c>
      <c r="F24" s="103">
        <v>5.1043347253932883</v>
      </c>
      <c r="G24" s="105">
        <f t="shared" si="1"/>
        <v>16.899617934606709</v>
      </c>
    </row>
    <row r="25" spans="4:17" ht="13.5" thickBot="1">
      <c r="D25" s="99" t="s">
        <v>27</v>
      </c>
      <c r="E25" s="103">
        <v>2.0909716700000001</v>
      </c>
      <c r="F25" s="103">
        <v>1.37027027027027</v>
      </c>
      <c r="G25" s="105">
        <f t="shared" si="1"/>
        <v>0.72070139972973002</v>
      </c>
    </row>
    <row r="26" spans="4:17" ht="13.5" thickBot="1">
      <c r="D26" s="99" t="s">
        <v>48</v>
      </c>
      <c r="E26" s="103">
        <v>2.0521167500000002</v>
      </c>
      <c r="F26" s="103">
        <v>0.50833300000000003</v>
      </c>
      <c r="G26" s="105">
        <f t="shared" si="1"/>
        <v>1.5437837500000002</v>
      </c>
    </row>
    <row r="27" spans="4:17" ht="13.5" thickBot="1">
      <c r="D27" s="100" t="s">
        <v>32</v>
      </c>
      <c r="E27" s="102">
        <f>SUM(E18:E26)</f>
        <v>131.92055093999997</v>
      </c>
      <c r="F27" s="102">
        <f>SUM(F18:F26)</f>
        <v>107.3616426079969</v>
      </c>
      <c r="G27" s="102">
        <f>SUM(G18:G26)</f>
        <v>24.558908332003071</v>
      </c>
    </row>
    <row r="31" spans="4:17" ht="13" thickBot="1"/>
    <row r="32" spans="4:17" ht="13.5" thickBot="1">
      <c r="D32" s="98" t="s">
        <v>17</v>
      </c>
      <c r="E32" s="104" t="s">
        <v>54</v>
      </c>
      <c r="F32" s="101" t="s">
        <v>55</v>
      </c>
      <c r="G32" s="101" t="s">
        <v>69</v>
      </c>
      <c r="H32" s="101" t="s">
        <v>70</v>
      </c>
      <c r="I32" s="101" t="s">
        <v>71</v>
      </c>
      <c r="J32" s="101" t="s">
        <v>72</v>
      </c>
      <c r="K32" s="101" t="s">
        <v>73</v>
      </c>
      <c r="L32" s="101" t="s">
        <v>74</v>
      </c>
      <c r="M32" s="101" t="s">
        <v>75</v>
      </c>
      <c r="N32" s="101" t="s">
        <v>76</v>
      </c>
      <c r="O32" s="101" t="s">
        <v>77</v>
      </c>
      <c r="P32" s="101" t="s">
        <v>78</v>
      </c>
      <c r="Q32" s="116" t="s">
        <v>16</v>
      </c>
    </row>
    <row r="33" spans="4:19" ht="13.5" thickBot="1">
      <c r="D33" s="99" t="s">
        <v>21</v>
      </c>
      <c r="E33" s="103">
        <f t="shared" ref="E33:F36" si="2">E5+E18</f>
        <v>119.10125017999997</v>
      </c>
      <c r="F33" s="103">
        <f t="shared" si="2"/>
        <v>88.134817600000019</v>
      </c>
      <c r="G33" s="105"/>
      <c r="H33" s="105"/>
      <c r="I33" s="105"/>
      <c r="J33" s="105"/>
      <c r="K33" s="105"/>
      <c r="L33" s="105"/>
      <c r="M33" s="105"/>
      <c r="N33" s="105"/>
      <c r="O33" s="105"/>
      <c r="P33" s="105"/>
    </row>
    <row r="34" spans="4:19" ht="13.5" thickBot="1">
      <c r="D34" s="99" t="s">
        <v>22</v>
      </c>
      <c r="E34" s="103">
        <f t="shared" si="2"/>
        <v>19.09395975</v>
      </c>
      <c r="F34" s="103">
        <f t="shared" si="2"/>
        <v>12.765113219</v>
      </c>
      <c r="G34" s="105"/>
      <c r="H34" s="105"/>
      <c r="I34" s="105"/>
      <c r="J34" s="105"/>
      <c r="K34" s="105"/>
      <c r="L34" s="105"/>
      <c r="M34" s="105"/>
      <c r="N34" s="105"/>
      <c r="O34" s="105"/>
      <c r="P34" s="105"/>
    </row>
    <row r="35" spans="4:19" ht="13.5" thickBot="1">
      <c r="D35" s="99" t="s">
        <v>25</v>
      </c>
      <c r="E35" s="103">
        <f t="shared" si="2"/>
        <v>19.12596022</v>
      </c>
      <c r="F35" s="103">
        <f t="shared" si="2"/>
        <v>11.35</v>
      </c>
      <c r="G35" s="105"/>
      <c r="H35" s="105"/>
      <c r="I35" s="105"/>
      <c r="J35" s="105"/>
      <c r="K35" s="105"/>
      <c r="L35" s="105"/>
      <c r="M35" s="105"/>
      <c r="N35" s="105"/>
      <c r="O35" s="105"/>
      <c r="P35" s="105"/>
    </row>
    <row r="36" spans="4:19" ht="13.5" thickBot="1">
      <c r="D36" s="99" t="s">
        <v>47</v>
      </c>
      <c r="E36" s="103">
        <f t="shared" si="2"/>
        <v>5.0236054200000009</v>
      </c>
      <c r="F36" s="103">
        <f t="shared" si="2"/>
        <v>2.2679999999999998</v>
      </c>
      <c r="G36" s="105"/>
      <c r="H36" s="105"/>
      <c r="I36" s="105"/>
      <c r="J36" s="105"/>
      <c r="K36" s="105"/>
      <c r="L36" s="105"/>
      <c r="M36" s="105"/>
      <c r="N36" s="105"/>
      <c r="O36" s="105"/>
      <c r="P36" s="105"/>
    </row>
    <row r="37" spans="4:19" ht="13.5" thickBot="1">
      <c r="D37" s="99" t="s">
        <v>23</v>
      </c>
      <c r="E37" s="103">
        <f>E22+E9</f>
        <v>51.599527060000007</v>
      </c>
      <c r="F37" s="103">
        <f>F9+F22</f>
        <v>36.911503993333341</v>
      </c>
      <c r="G37" s="105"/>
      <c r="H37" s="105"/>
      <c r="I37" s="105"/>
      <c r="J37" s="105"/>
      <c r="K37" s="105"/>
      <c r="L37" s="105"/>
      <c r="M37" s="105"/>
      <c r="N37" s="105"/>
      <c r="O37" s="105"/>
      <c r="P37" s="105"/>
    </row>
    <row r="38" spans="4:19" ht="13.5" thickBot="1">
      <c r="D38" s="99" t="s">
        <v>24</v>
      </c>
      <c r="E38" s="103">
        <f>E10+E23</f>
        <v>28.129207229999999</v>
      </c>
      <c r="F38" s="103">
        <f>F23+F10</f>
        <v>9.4492698000000015</v>
      </c>
      <c r="G38" s="105"/>
      <c r="H38" s="105"/>
      <c r="I38" s="105"/>
      <c r="J38" s="105"/>
      <c r="K38" s="105"/>
      <c r="L38" s="105"/>
      <c r="M38" s="105"/>
      <c r="N38" s="105"/>
      <c r="O38" s="105"/>
      <c r="P38" s="105"/>
    </row>
    <row r="39" spans="4:19" ht="13.5" thickBot="1">
      <c r="D39" s="99" t="s">
        <v>26</v>
      </c>
      <c r="E39" s="103">
        <f>E24+E11</f>
        <v>51.003952659999996</v>
      </c>
      <c r="F39" s="103">
        <f>F11+F24</f>
        <v>108.70433472539328</v>
      </c>
      <c r="G39" s="105"/>
      <c r="H39" s="105"/>
      <c r="I39" s="105"/>
      <c r="J39" s="105"/>
      <c r="K39" s="105"/>
      <c r="L39" s="105"/>
      <c r="M39" s="105"/>
      <c r="N39" s="105"/>
      <c r="O39" s="105"/>
      <c r="P39" s="105"/>
    </row>
    <row r="40" spans="4:19" ht="13.5" thickBot="1">
      <c r="D40" s="99" t="s">
        <v>27</v>
      </c>
      <c r="E40" s="103">
        <f>E25+E12</f>
        <v>5.0909716700000001</v>
      </c>
      <c r="F40" s="103">
        <f>F25+F12</f>
        <v>1.37027027027027</v>
      </c>
      <c r="G40" s="105"/>
      <c r="H40" s="105"/>
      <c r="I40" s="105"/>
      <c r="J40" s="105"/>
      <c r="K40" s="105"/>
      <c r="L40" s="105"/>
      <c r="M40" s="105"/>
      <c r="N40" s="105"/>
      <c r="O40" s="105"/>
      <c r="P40" s="105"/>
    </row>
    <row r="41" spans="4:19" ht="13.5" thickBot="1">
      <c r="D41" s="99" t="s">
        <v>48</v>
      </c>
      <c r="E41" s="103">
        <f>E26+E13</f>
        <v>4.0521167499999997</v>
      </c>
      <c r="F41" s="103">
        <f>F13+F26</f>
        <v>1.0083329999999999</v>
      </c>
      <c r="G41" s="105"/>
      <c r="H41" s="105"/>
      <c r="I41" s="105"/>
      <c r="J41" s="105"/>
      <c r="K41" s="105"/>
      <c r="L41" s="105"/>
      <c r="M41" s="105"/>
      <c r="N41" s="105"/>
      <c r="O41" s="105"/>
      <c r="P41" s="105"/>
    </row>
    <row r="42" spans="4:19" ht="13.5" thickBot="1">
      <c r="D42" s="100" t="s">
        <v>32</v>
      </c>
      <c r="E42" s="102">
        <f>SUM(E33:E41)</f>
        <v>302.22055093999995</v>
      </c>
      <c r="F42" s="102">
        <f>SUM(F33:F41)</f>
        <v>271.96164260799691</v>
      </c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4" spans="4:19" ht="13" thickBot="1">
      <c r="F44" s="79"/>
    </row>
    <row r="45" spans="4:19" ht="13.5" thickBot="1">
      <c r="D45" s="98" t="s">
        <v>17</v>
      </c>
      <c r="E45" s="117">
        <v>43831</v>
      </c>
      <c r="F45" s="117">
        <v>43862</v>
      </c>
      <c r="G45" s="117">
        <v>43891</v>
      </c>
      <c r="H45" s="117">
        <v>43922</v>
      </c>
      <c r="I45" s="117">
        <v>43952</v>
      </c>
      <c r="J45" s="117">
        <v>43983</v>
      </c>
      <c r="K45" s="118" t="s">
        <v>80</v>
      </c>
      <c r="L45" s="117">
        <v>44013</v>
      </c>
      <c r="M45" s="117">
        <v>44044</v>
      </c>
      <c r="N45" s="117">
        <v>44075</v>
      </c>
      <c r="O45" s="117">
        <v>44105</v>
      </c>
      <c r="P45" s="117">
        <v>44136</v>
      </c>
      <c r="Q45" s="117">
        <v>44166</v>
      </c>
      <c r="R45" s="118" t="s">
        <v>79</v>
      </c>
      <c r="S45" s="117" t="s">
        <v>81</v>
      </c>
    </row>
    <row r="46" spans="4:19" ht="13.5" thickBot="1">
      <c r="D46" s="99" t="s">
        <v>21</v>
      </c>
      <c r="E46" s="103">
        <v>72.310995370000015</v>
      </c>
      <c r="F46" s="103">
        <v>47.101250179999973</v>
      </c>
      <c r="G46" s="105"/>
      <c r="H46" s="105"/>
      <c r="I46" s="105"/>
      <c r="J46" s="105"/>
      <c r="K46" s="119">
        <v>471.5</v>
      </c>
      <c r="L46" s="105"/>
      <c r="M46" s="105"/>
      <c r="N46" s="105"/>
      <c r="O46" s="105"/>
      <c r="P46" s="105"/>
      <c r="Q46" s="105"/>
      <c r="R46" s="119">
        <v>494.5</v>
      </c>
      <c r="S46" s="105">
        <f>K46+R46</f>
        <v>966</v>
      </c>
    </row>
    <row r="47" spans="4:19" ht="13.5" thickBot="1">
      <c r="D47" s="99" t="s">
        <v>22</v>
      </c>
      <c r="E47" s="103">
        <v>10.083170280000001</v>
      </c>
      <c r="F47" s="103">
        <v>9.0939597499999998</v>
      </c>
      <c r="G47" s="105"/>
      <c r="H47" s="105"/>
      <c r="I47" s="105"/>
      <c r="J47" s="105"/>
      <c r="K47" s="119">
        <v>79</v>
      </c>
      <c r="L47" s="105"/>
      <c r="M47" s="105"/>
      <c r="N47" s="105"/>
      <c r="O47" s="105"/>
      <c r="P47" s="105"/>
      <c r="Q47" s="105"/>
      <c r="R47" s="119">
        <v>104</v>
      </c>
      <c r="S47" s="105">
        <f t="shared" ref="S47:S54" si="3">K47+R47</f>
        <v>183</v>
      </c>
    </row>
    <row r="48" spans="4:19" ht="13.5" thickBot="1">
      <c r="D48" s="99" t="s">
        <v>25</v>
      </c>
      <c r="E48" s="103">
        <v>10.14905881</v>
      </c>
      <c r="F48" s="103">
        <v>9.1259602199999996</v>
      </c>
      <c r="G48" s="105"/>
      <c r="H48" s="105"/>
      <c r="I48" s="105"/>
      <c r="J48" s="105"/>
      <c r="K48" s="119">
        <v>60</v>
      </c>
      <c r="L48" s="105"/>
      <c r="M48" s="105"/>
      <c r="N48" s="105"/>
      <c r="O48" s="105"/>
      <c r="P48" s="105"/>
      <c r="Q48" s="105"/>
      <c r="R48" s="119">
        <v>50</v>
      </c>
      <c r="S48" s="105">
        <f t="shared" si="3"/>
        <v>110</v>
      </c>
    </row>
    <row r="49" spans="4:19" ht="13.5" thickBot="1">
      <c r="D49" s="99" t="s">
        <v>47</v>
      </c>
      <c r="E49" s="103">
        <v>0.31691436000000001</v>
      </c>
      <c r="F49" s="103">
        <v>4.7236054200000002</v>
      </c>
      <c r="G49" s="105"/>
      <c r="H49" s="105"/>
      <c r="I49" s="105"/>
      <c r="J49" s="105"/>
      <c r="K49" s="119">
        <v>5</v>
      </c>
      <c r="L49" s="105"/>
      <c r="M49" s="105"/>
      <c r="N49" s="105"/>
      <c r="O49" s="105"/>
      <c r="P49" s="105"/>
      <c r="Q49" s="105"/>
      <c r="R49" s="119">
        <v>40</v>
      </c>
      <c r="S49" s="105">
        <f t="shared" si="3"/>
        <v>45</v>
      </c>
    </row>
    <row r="50" spans="4:19" ht="13.5" thickBot="1">
      <c r="D50" s="99" t="s">
        <v>23</v>
      </c>
      <c r="E50" s="103">
        <v>19.511058690000002</v>
      </c>
      <c r="F50" s="103">
        <v>31.599527060000007</v>
      </c>
      <c r="G50" s="105"/>
      <c r="H50" s="105"/>
      <c r="I50" s="105"/>
      <c r="J50" s="105"/>
      <c r="K50" s="119">
        <v>120</v>
      </c>
      <c r="L50" s="105"/>
      <c r="M50" s="105"/>
      <c r="N50" s="105"/>
      <c r="O50" s="105"/>
      <c r="P50" s="105"/>
      <c r="Q50" s="105"/>
      <c r="R50" s="119">
        <v>136</v>
      </c>
      <c r="S50" s="105">
        <f t="shared" si="3"/>
        <v>256</v>
      </c>
    </row>
    <row r="51" spans="4:19" ht="13.5" thickBot="1">
      <c r="D51" s="99" t="s">
        <v>24</v>
      </c>
      <c r="E51" s="103">
        <v>24.246882539999998</v>
      </c>
      <c r="F51" s="103">
        <v>4.1292072300000005</v>
      </c>
      <c r="G51" s="105"/>
      <c r="H51" s="105"/>
      <c r="I51" s="105"/>
      <c r="J51" s="105"/>
      <c r="K51" s="119">
        <v>46</v>
      </c>
      <c r="L51" s="105"/>
      <c r="M51" s="105"/>
      <c r="N51" s="105"/>
      <c r="O51" s="105"/>
      <c r="P51" s="105"/>
      <c r="Q51" s="105"/>
      <c r="R51" s="119">
        <v>142</v>
      </c>
      <c r="S51" s="105">
        <f t="shared" si="3"/>
        <v>188</v>
      </c>
    </row>
    <row r="52" spans="4:19" ht="13.5" thickBot="1">
      <c r="D52" s="99" t="s">
        <v>26</v>
      </c>
      <c r="E52" s="103">
        <v>29.424479730000002</v>
      </c>
      <c r="F52" s="103">
        <v>22.003952659999999</v>
      </c>
      <c r="G52" s="105"/>
      <c r="H52" s="105"/>
      <c r="I52" s="105"/>
      <c r="J52" s="105"/>
      <c r="K52" s="119">
        <v>175</v>
      </c>
      <c r="L52" s="105"/>
      <c r="M52" s="105"/>
      <c r="N52" s="105"/>
      <c r="O52" s="105"/>
      <c r="P52" s="105"/>
      <c r="Q52" s="105"/>
      <c r="R52" s="119">
        <v>171</v>
      </c>
      <c r="S52" s="105">
        <f t="shared" si="3"/>
        <v>346</v>
      </c>
    </row>
    <row r="53" spans="4:19" ht="13.5" thickBot="1">
      <c r="D53" s="99" t="s">
        <v>27</v>
      </c>
      <c r="E53" s="103">
        <v>2.88949159</v>
      </c>
      <c r="F53" s="103">
        <v>2.0909716700000001</v>
      </c>
      <c r="G53" s="105"/>
      <c r="H53" s="105"/>
      <c r="I53" s="105"/>
      <c r="J53" s="105"/>
      <c r="K53" s="119">
        <v>13</v>
      </c>
      <c r="L53" s="105"/>
      <c r="M53" s="105"/>
      <c r="N53" s="105"/>
      <c r="O53" s="105"/>
      <c r="P53" s="105"/>
      <c r="Q53" s="105"/>
      <c r="R53" s="119">
        <v>36</v>
      </c>
      <c r="S53" s="105">
        <f t="shared" si="3"/>
        <v>49</v>
      </c>
    </row>
    <row r="54" spans="4:19" ht="13.5" thickBot="1">
      <c r="D54" s="99" t="s">
        <v>48</v>
      </c>
      <c r="E54" s="103">
        <v>2.1725617000000002</v>
      </c>
      <c r="F54" s="103">
        <v>2.0521167500000002</v>
      </c>
      <c r="G54" s="105"/>
      <c r="H54" s="105"/>
      <c r="I54" s="105"/>
      <c r="J54" s="105"/>
      <c r="K54" s="119">
        <v>6</v>
      </c>
      <c r="L54" s="105"/>
      <c r="M54" s="105"/>
      <c r="N54" s="105"/>
      <c r="O54" s="105"/>
      <c r="P54" s="105"/>
      <c r="Q54" s="105"/>
      <c r="R54" s="119">
        <v>14</v>
      </c>
      <c r="S54" s="105">
        <f t="shared" si="3"/>
        <v>20</v>
      </c>
    </row>
    <row r="55" spans="4:19" ht="13.5" thickBot="1">
      <c r="D55" s="100" t="s">
        <v>32</v>
      </c>
      <c r="E55" s="102">
        <f>SUM(E46:E54)</f>
        <v>171.10461307</v>
      </c>
      <c r="F55" s="102">
        <f>SUM(F46:F54)</f>
        <v>131.92055093999997</v>
      </c>
      <c r="G55" s="102"/>
      <c r="H55" s="102"/>
      <c r="I55" s="102"/>
      <c r="J55" s="102"/>
      <c r="K55" s="120">
        <f>SUM(K46:K54)</f>
        <v>975.5</v>
      </c>
      <c r="L55" s="102"/>
      <c r="M55" s="102"/>
      <c r="N55" s="102"/>
      <c r="O55" s="102"/>
      <c r="P55" s="102"/>
      <c r="Q55" s="102"/>
      <c r="R55" s="120">
        <f>SUM(R46:R54)</f>
        <v>1187.5</v>
      </c>
      <c r="S55" s="102">
        <f>SUM(S46:S54)</f>
        <v>2163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3:J38"/>
  <sheetViews>
    <sheetView topLeftCell="A22" workbookViewId="0">
      <selection activeCell="G45" sqref="G45"/>
    </sheetView>
  </sheetViews>
  <sheetFormatPr defaultRowHeight="12.5"/>
  <cols>
    <col min="4" max="4" width="25.6328125" customWidth="1"/>
    <col min="5" max="5" width="21.6328125" hidden="1" customWidth="1"/>
    <col min="6" max="7" width="21.6328125" customWidth="1"/>
    <col min="8" max="8" width="27.08984375" style="10" customWidth="1"/>
    <col min="9" max="9" width="20.453125" customWidth="1"/>
    <col min="10" max="10" width="19.36328125" customWidth="1"/>
  </cols>
  <sheetData>
    <row r="3" spans="4:10" ht="13" thickBot="1"/>
    <row r="4" spans="4:10" ht="43.5">
      <c r="D4" s="236" t="s">
        <v>56</v>
      </c>
      <c r="E4" s="106" t="s">
        <v>57</v>
      </c>
      <c r="F4" s="106"/>
      <c r="G4" s="106"/>
      <c r="H4" s="126" t="s">
        <v>82</v>
      </c>
      <c r="I4" s="106" t="s">
        <v>45</v>
      </c>
      <c r="J4" s="106" t="s">
        <v>46</v>
      </c>
    </row>
    <row r="5" spans="4:10" ht="29.5" hidden="1" thickBot="1">
      <c r="D5" s="237"/>
      <c r="E5" s="107" t="s">
        <v>58</v>
      </c>
      <c r="F5" s="107"/>
      <c r="G5" s="107"/>
      <c r="H5" s="127" t="s">
        <v>59</v>
      </c>
      <c r="I5" s="107"/>
      <c r="J5" s="107"/>
    </row>
    <row r="6" spans="4:10" ht="15" thickBot="1">
      <c r="D6" s="108" t="s">
        <v>60</v>
      </c>
      <c r="E6" s="109">
        <v>971</v>
      </c>
      <c r="F6" s="109"/>
      <c r="G6" s="109"/>
      <c r="H6" s="128">
        <f>929+37</f>
        <v>966</v>
      </c>
      <c r="I6" s="113">
        <v>471.5</v>
      </c>
      <c r="J6" s="114">
        <f>H6-I6</f>
        <v>494.5</v>
      </c>
    </row>
    <row r="7" spans="4:10" ht="15" thickBot="1">
      <c r="D7" s="108" t="s">
        <v>61</v>
      </c>
      <c r="E7" s="109">
        <v>204</v>
      </c>
      <c r="F7" s="109"/>
      <c r="G7" s="109"/>
      <c r="H7" s="128">
        <v>189</v>
      </c>
      <c r="I7" s="113">
        <v>79</v>
      </c>
      <c r="J7" s="114">
        <f t="shared" ref="J7:J15" si="0">H7-I7</f>
        <v>110</v>
      </c>
    </row>
    <row r="8" spans="4:10" ht="15" thickBot="1">
      <c r="D8" s="121" t="s">
        <v>62</v>
      </c>
      <c r="E8" s="122">
        <v>271</v>
      </c>
      <c r="F8" s="122"/>
      <c r="G8" s="122"/>
      <c r="H8" s="129">
        <v>256</v>
      </c>
      <c r="I8" s="123">
        <v>120</v>
      </c>
      <c r="J8" s="124">
        <f t="shared" si="0"/>
        <v>136</v>
      </c>
    </row>
    <row r="9" spans="4:10" ht="15" thickBot="1">
      <c r="D9" s="108" t="s">
        <v>63</v>
      </c>
      <c r="E9" s="109">
        <v>123</v>
      </c>
      <c r="F9" s="109"/>
      <c r="G9" s="109"/>
      <c r="H9" s="128">
        <v>110</v>
      </c>
      <c r="I9" s="113">
        <v>60</v>
      </c>
      <c r="J9" s="114">
        <f t="shared" si="0"/>
        <v>50</v>
      </c>
    </row>
    <row r="10" spans="4:10" ht="15" thickBot="1">
      <c r="D10" s="108" t="s">
        <v>26</v>
      </c>
      <c r="E10" s="109">
        <v>361</v>
      </c>
      <c r="F10" s="109"/>
      <c r="G10" s="109"/>
      <c r="H10" s="128">
        <f>341+5</f>
        <v>346</v>
      </c>
      <c r="I10" s="113">
        <v>175</v>
      </c>
      <c r="J10" s="114">
        <f t="shared" si="0"/>
        <v>171</v>
      </c>
    </row>
    <row r="11" spans="4:10" ht="15" thickBot="1">
      <c r="D11" s="108" t="s">
        <v>64</v>
      </c>
      <c r="E11" s="109">
        <v>53</v>
      </c>
      <c r="F11" s="109"/>
      <c r="G11" s="109"/>
      <c r="H11" s="128">
        <v>49</v>
      </c>
      <c r="I11" s="113">
        <v>13</v>
      </c>
      <c r="J11" s="114">
        <f t="shared" si="0"/>
        <v>36</v>
      </c>
    </row>
    <row r="12" spans="4:10" ht="15" thickBot="1">
      <c r="D12" s="108" t="s">
        <v>65</v>
      </c>
      <c r="E12" s="109">
        <v>116</v>
      </c>
      <c r="F12" s="109"/>
      <c r="G12" s="109"/>
      <c r="H12" s="128">
        <f>107+53+28</f>
        <v>188</v>
      </c>
      <c r="I12" s="113">
        <v>46</v>
      </c>
      <c r="J12" s="114">
        <f t="shared" si="0"/>
        <v>142</v>
      </c>
    </row>
    <row r="13" spans="4:10" ht="15" thickBot="1">
      <c r="D13" s="108" t="s">
        <v>66</v>
      </c>
      <c r="E13" s="109">
        <v>20</v>
      </c>
      <c r="F13" s="109"/>
      <c r="G13" s="109"/>
      <c r="H13" s="128">
        <v>20</v>
      </c>
      <c r="I13" s="113">
        <v>6</v>
      </c>
      <c r="J13" s="114">
        <f t="shared" si="0"/>
        <v>14</v>
      </c>
    </row>
    <row r="14" spans="4:10" ht="15" thickBot="1">
      <c r="D14" s="108" t="s">
        <v>67</v>
      </c>
      <c r="E14" s="109" t="s">
        <v>68</v>
      </c>
      <c r="F14" s="109"/>
      <c r="G14" s="109"/>
      <c r="H14" s="128">
        <v>44</v>
      </c>
      <c r="I14" s="113">
        <v>5</v>
      </c>
      <c r="J14" s="114">
        <f t="shared" si="0"/>
        <v>39</v>
      </c>
    </row>
    <row r="15" spans="4:10" ht="15" thickBot="1">
      <c r="D15" s="108" t="s">
        <v>15</v>
      </c>
      <c r="E15" s="109">
        <v>2</v>
      </c>
      <c r="F15" s="109"/>
      <c r="G15" s="109"/>
      <c r="H15" s="128">
        <v>1</v>
      </c>
      <c r="I15" s="113">
        <v>0</v>
      </c>
      <c r="J15" s="114">
        <f t="shared" si="0"/>
        <v>1</v>
      </c>
    </row>
    <row r="16" spans="4:10" ht="15" thickBot="1">
      <c r="D16" s="110" t="s">
        <v>0</v>
      </c>
      <c r="E16" s="111">
        <v>2169</v>
      </c>
      <c r="F16" s="111"/>
      <c r="G16" s="111"/>
      <c r="H16" s="130">
        <f>SUM(H6:H15)</f>
        <v>2169</v>
      </c>
      <c r="I16" s="112">
        <f>SUM(I6:I15)</f>
        <v>975.5</v>
      </c>
      <c r="J16" s="115">
        <f>SUM(J6:J15)</f>
        <v>1193.5</v>
      </c>
    </row>
    <row r="22" spans="4:9" ht="13" thickBot="1"/>
    <row r="23" spans="4:9" ht="12.75" customHeight="1">
      <c r="D23" s="236" t="s">
        <v>56</v>
      </c>
      <c r="F23" s="236" t="s">
        <v>85</v>
      </c>
      <c r="G23" s="236" t="s">
        <v>86</v>
      </c>
      <c r="H23" s="238" t="s">
        <v>84</v>
      </c>
      <c r="I23" s="236" t="s">
        <v>83</v>
      </c>
    </row>
    <row r="24" spans="4:9" ht="49.5" customHeight="1" thickBot="1">
      <c r="D24" s="237"/>
      <c r="F24" s="237"/>
      <c r="G24" s="237"/>
      <c r="H24" s="239"/>
      <c r="I24" s="237"/>
    </row>
    <row r="25" spans="4:9" ht="15" thickBot="1">
      <c r="D25" s="108" t="s">
        <v>60</v>
      </c>
      <c r="F25" s="132">
        <v>854.45055561833351</v>
      </c>
      <c r="G25" s="132">
        <v>1025</v>
      </c>
      <c r="H25" s="132">
        <v>966.15853246666677</v>
      </c>
      <c r="I25" s="133">
        <f>H25+45</f>
        <v>1011.1585324666668</v>
      </c>
    </row>
    <row r="26" spans="4:9" ht="15" thickBot="1">
      <c r="D26" s="108" t="s">
        <v>61</v>
      </c>
      <c r="F26" s="132">
        <v>216.65244060199998</v>
      </c>
      <c r="G26" s="132">
        <v>202</v>
      </c>
      <c r="H26" s="132">
        <v>189.165393005</v>
      </c>
      <c r="I26" s="108">
        <v>189</v>
      </c>
    </row>
    <row r="27" spans="4:9" ht="15" thickBot="1">
      <c r="D27" s="108" t="s">
        <v>63</v>
      </c>
      <c r="F27" s="132">
        <v>125.041</v>
      </c>
      <c r="G27" s="132">
        <v>121</v>
      </c>
      <c r="H27" s="132">
        <v>109.75001903</v>
      </c>
      <c r="I27" s="108">
        <v>110</v>
      </c>
    </row>
    <row r="28" spans="4:9" ht="15" thickBot="1">
      <c r="D28" s="108" t="s">
        <v>62</v>
      </c>
      <c r="F28" s="132">
        <v>328.02376960000015</v>
      </c>
      <c r="G28" s="132">
        <v>256</v>
      </c>
      <c r="H28" s="132">
        <v>255.21650147000008</v>
      </c>
      <c r="I28" s="108">
        <v>255</v>
      </c>
    </row>
    <row r="29" spans="4:9" ht="15" thickBot="1">
      <c r="D29" s="108" t="s">
        <v>26</v>
      </c>
      <c r="F29" s="132">
        <v>286.68277542946055</v>
      </c>
      <c r="G29" s="132">
        <v>356</v>
      </c>
      <c r="H29" s="132">
        <v>345.99168943963087</v>
      </c>
      <c r="I29" s="108">
        <v>346</v>
      </c>
    </row>
    <row r="30" spans="4:9" ht="15" thickBot="1">
      <c r="D30" s="108" t="s">
        <v>64</v>
      </c>
      <c r="F30" s="132">
        <v>62.366459459459456</v>
      </c>
      <c r="G30" s="132">
        <v>52</v>
      </c>
      <c r="H30" s="132">
        <v>48.656328669243564</v>
      </c>
      <c r="I30" s="108">
        <v>49</v>
      </c>
    </row>
    <row r="31" spans="4:9" ht="15" thickBot="1">
      <c r="D31" s="108" t="s">
        <v>65</v>
      </c>
      <c r="F31" s="132">
        <v>207.3412409</v>
      </c>
      <c r="G31" s="132">
        <v>118</v>
      </c>
      <c r="H31" s="132">
        <v>189.22308977</v>
      </c>
      <c r="I31" s="108">
        <v>189</v>
      </c>
    </row>
    <row r="32" spans="4:9" ht="15" thickBot="1">
      <c r="D32" s="108" t="s">
        <v>66</v>
      </c>
      <c r="F32" s="132">
        <v>28.099996000000001</v>
      </c>
      <c r="G32" s="132">
        <v>20</v>
      </c>
      <c r="H32" s="132">
        <v>19.25801045</v>
      </c>
      <c r="I32" s="108">
        <v>19</v>
      </c>
    </row>
    <row r="33" spans="4:10" ht="15" thickBot="1">
      <c r="D33" s="108" t="s">
        <v>67</v>
      </c>
      <c r="F33" s="132">
        <v>58.001609999999999</v>
      </c>
      <c r="G33" s="132">
        <v>46.8</v>
      </c>
      <c r="H33" s="132">
        <v>41.771784779999997</v>
      </c>
      <c r="I33" s="108">
        <v>42</v>
      </c>
    </row>
    <row r="34" spans="4:10" ht="15" thickBot="1">
      <c r="D34" s="108" t="s">
        <v>15</v>
      </c>
      <c r="F34" s="132">
        <v>2.5394999999999999</v>
      </c>
      <c r="G34" s="132">
        <v>2</v>
      </c>
      <c r="H34" s="132">
        <v>4.5187350000000013</v>
      </c>
      <c r="I34" s="108">
        <v>3</v>
      </c>
    </row>
    <row r="35" spans="4:10" ht="15" thickBot="1">
      <c r="D35" s="125" t="s">
        <v>0</v>
      </c>
      <c r="F35" s="136">
        <f>SUM(F25:F34)</f>
        <v>2169.1993476092534</v>
      </c>
      <c r="G35" s="136">
        <f>SUM(G25:G34)</f>
        <v>2198.8000000000002</v>
      </c>
      <c r="H35" s="131">
        <f>SUM(H25:H34)</f>
        <v>2169.710084080541</v>
      </c>
      <c r="I35" s="134">
        <f>SUM(I25:I34)</f>
        <v>2213.1585324666667</v>
      </c>
      <c r="J35" s="135"/>
    </row>
    <row r="37" spans="4:10">
      <c r="I37" s="135"/>
    </row>
    <row r="38" spans="4:10">
      <c r="G38" s="46"/>
      <c r="I38" s="135"/>
    </row>
  </sheetData>
  <mergeCells count="6">
    <mergeCell ref="D4:D5"/>
    <mergeCell ref="D23:D24"/>
    <mergeCell ref="H23:H24"/>
    <mergeCell ref="I23:I24"/>
    <mergeCell ref="F23:F24"/>
    <mergeCell ref="G23:G2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Q51"/>
  <sheetViews>
    <sheetView topLeftCell="A27" workbookViewId="0">
      <selection activeCell="J45" sqref="J45"/>
    </sheetView>
  </sheetViews>
  <sheetFormatPr defaultColWidth="9.08984375" defaultRowHeight="14.5"/>
  <cols>
    <col min="1" max="2" width="9.08984375" style="139"/>
    <col min="3" max="3" width="27.08984375" style="139" customWidth="1"/>
    <col min="4" max="4" width="19.08984375" style="139" customWidth="1"/>
    <col min="5" max="6" width="21.453125" style="138" customWidth="1"/>
    <col min="7" max="7" width="14.36328125" style="139" hidden="1" customWidth="1"/>
    <col min="8" max="8" width="18.6328125" style="139" customWidth="1"/>
    <col min="9" max="9" width="15.6328125" style="139" customWidth="1"/>
    <col min="10" max="10" width="9.08984375" style="139"/>
    <col min="11" max="11" width="13.36328125" style="139" bestFit="1" customWidth="1"/>
    <col min="12" max="16384" width="9.08984375" style="139"/>
  </cols>
  <sheetData>
    <row r="1" spans="1:17">
      <c r="A1" s="138"/>
      <c r="B1" s="138"/>
      <c r="C1" s="138"/>
      <c r="D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17" ht="15" thickBot="1">
      <c r="A2" s="138"/>
      <c r="B2" s="138"/>
      <c r="C2" s="138"/>
      <c r="D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17" ht="32.25" customHeight="1" thickBot="1">
      <c r="A3" s="138"/>
      <c r="B3" s="138"/>
      <c r="C3" s="140" t="s">
        <v>17</v>
      </c>
      <c r="D3" s="140"/>
      <c r="E3" s="149" t="s">
        <v>94</v>
      </c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17">
      <c r="A4" s="138"/>
      <c r="B4" s="138"/>
      <c r="C4" s="141" t="s">
        <v>21</v>
      </c>
      <c r="D4" s="141"/>
      <c r="E4" s="142" t="e">
        <f>'Projects Consolidation'!#REF!</f>
        <v>#REF!</v>
      </c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</row>
    <row r="5" spans="1:17">
      <c r="A5" s="138"/>
      <c r="B5" s="138"/>
      <c r="C5" s="141" t="s">
        <v>22</v>
      </c>
      <c r="D5" s="141"/>
      <c r="E5" s="142" t="e">
        <f>'Projects Consolidation'!#REF!</f>
        <v>#REF!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17">
      <c r="A6" s="138"/>
      <c r="B6" s="138"/>
      <c r="C6" s="141" t="s">
        <v>23</v>
      </c>
      <c r="D6" s="141"/>
      <c r="E6" s="142" t="e">
        <f>'Projects Consolidation'!#REF!</f>
        <v>#REF!</v>
      </c>
      <c r="G6" s="138"/>
      <c r="H6" s="138"/>
      <c r="I6" s="138"/>
      <c r="J6" s="138"/>
      <c r="K6" s="138"/>
      <c r="L6" s="151"/>
      <c r="M6" s="138"/>
      <c r="N6" s="138"/>
      <c r="O6" s="138"/>
      <c r="P6" s="138"/>
      <c r="Q6" s="138"/>
    </row>
    <row r="7" spans="1:17">
      <c r="A7" s="138"/>
      <c r="B7" s="138"/>
      <c r="C7" s="141" t="s">
        <v>25</v>
      </c>
      <c r="D7" s="141"/>
      <c r="E7" s="142" t="e">
        <f>'Projects Consolidation'!#REF!</f>
        <v>#REF!</v>
      </c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</row>
    <row r="8" spans="1:17">
      <c r="A8" s="138"/>
      <c r="B8" s="138"/>
      <c r="C8" s="141" t="s">
        <v>26</v>
      </c>
      <c r="D8" s="141"/>
      <c r="E8" s="142" t="e">
        <f>'Projects Consolidation'!#REF!</f>
        <v>#REF!</v>
      </c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17">
      <c r="A9" s="138"/>
      <c r="B9" s="138"/>
      <c r="C9" s="141" t="s">
        <v>27</v>
      </c>
      <c r="D9" s="141"/>
      <c r="E9" s="142" t="e">
        <f>'Projects Consolidation'!#REF!</f>
        <v>#REF!</v>
      </c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17">
      <c r="A10" s="138"/>
      <c r="B10" s="138"/>
      <c r="C10" s="141" t="s">
        <v>24</v>
      </c>
      <c r="D10" s="141"/>
      <c r="E10" s="142" t="e">
        <f>'Projects Consolidation'!#REF!</f>
        <v>#REF!</v>
      </c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</row>
    <row r="11" spans="1:17">
      <c r="A11" s="138"/>
      <c r="B11" s="138"/>
      <c r="C11" s="141" t="s">
        <v>47</v>
      </c>
      <c r="D11" s="141"/>
      <c r="E11" s="142" t="e">
        <f>'Projects Consolidation'!#REF!+'Projects Consolidation'!#REF!+'Projects Consolidation'!#REF!</f>
        <v>#REF!</v>
      </c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</row>
    <row r="12" spans="1:17" ht="15" thickBot="1">
      <c r="A12" s="138"/>
      <c r="B12" s="138"/>
      <c r="C12" s="143" t="s">
        <v>48</v>
      </c>
      <c r="D12" s="143"/>
      <c r="E12" s="144" t="e">
        <f>'Projects Consolidation'!#REF!</f>
        <v>#REF!</v>
      </c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</row>
    <row r="13" spans="1:17" ht="15" thickBot="1">
      <c r="A13" s="138"/>
      <c r="B13" s="138"/>
      <c r="C13" s="145" t="s">
        <v>32</v>
      </c>
      <c r="D13" s="145"/>
      <c r="E13" s="146" t="e">
        <f>SUM(E4:E12)</f>
        <v>#REF!</v>
      </c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</row>
    <row r="14" spans="1:17" ht="15" thickBot="1">
      <c r="A14" s="138"/>
      <c r="B14" s="138"/>
      <c r="C14" s="147" t="s">
        <v>87</v>
      </c>
      <c r="D14" s="147"/>
      <c r="E14" s="148" t="e">
        <f>'Projects Consolidation'!#REF!</f>
        <v>#REF!</v>
      </c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17" ht="15" thickBot="1">
      <c r="A15" s="138"/>
      <c r="B15" s="138"/>
      <c r="C15" s="145" t="s">
        <v>88</v>
      </c>
      <c r="D15" s="145"/>
      <c r="E15" s="146" t="e">
        <f>E13+E14</f>
        <v>#REF!</v>
      </c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17">
      <c r="A16" s="138"/>
      <c r="B16" s="138"/>
      <c r="C16" s="138"/>
      <c r="D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</row>
    <row r="17" spans="1:17">
      <c r="A17" s="138"/>
      <c r="B17" s="138"/>
      <c r="C17" s="138"/>
      <c r="D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</row>
    <row r="18" spans="1:17" ht="15" thickBot="1">
      <c r="A18" s="138"/>
      <c r="B18" s="138"/>
      <c r="C18" s="138"/>
      <c r="D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</row>
    <row r="19" spans="1:17" ht="29">
      <c r="A19" s="138"/>
      <c r="B19" s="138"/>
      <c r="C19" s="159" t="s">
        <v>17</v>
      </c>
      <c r="D19" s="159"/>
      <c r="E19" s="153" t="s">
        <v>91</v>
      </c>
      <c r="F19" s="153" t="s">
        <v>92</v>
      </c>
      <c r="G19" s="156" t="s">
        <v>51</v>
      </c>
      <c r="H19" s="153" t="s">
        <v>90</v>
      </c>
      <c r="I19" s="156" t="s">
        <v>51</v>
      </c>
      <c r="J19" s="138"/>
      <c r="K19" s="152"/>
      <c r="L19" s="138"/>
      <c r="M19" s="138"/>
      <c r="N19" s="138"/>
      <c r="O19" s="138"/>
      <c r="P19" s="138"/>
      <c r="Q19" s="138"/>
    </row>
    <row r="20" spans="1:17">
      <c r="A20" s="138"/>
      <c r="B20" s="138"/>
      <c r="C20" s="160" t="s">
        <v>21</v>
      </c>
      <c r="D20" s="160"/>
      <c r="E20" s="157">
        <v>1521.0719999999999</v>
      </c>
      <c r="F20" s="157">
        <v>1456.6867999999999</v>
      </c>
      <c r="G20" s="157">
        <f>F20-E20</f>
        <v>-64.385199999999941</v>
      </c>
      <c r="H20" s="157">
        <v>1640.114</v>
      </c>
      <c r="I20" s="157">
        <f>H20-F20</f>
        <v>183.42720000000008</v>
      </c>
      <c r="J20" s="138"/>
      <c r="K20" s="138"/>
      <c r="L20" s="138"/>
      <c r="M20" s="138"/>
      <c r="N20" s="138"/>
      <c r="O20" s="138"/>
      <c r="P20" s="138"/>
      <c r="Q20" s="138"/>
    </row>
    <row r="21" spans="1:17">
      <c r="A21" s="138"/>
      <c r="B21" s="138"/>
      <c r="C21" s="160" t="s">
        <v>22</v>
      </c>
      <c r="D21" s="160"/>
      <c r="E21" s="157">
        <v>290.96160480000003</v>
      </c>
      <c r="F21" s="157">
        <v>282.24954150000002</v>
      </c>
      <c r="G21" s="157">
        <f t="shared" ref="G21:G28" si="0">F21-E21</f>
        <v>-8.7120633000000112</v>
      </c>
      <c r="H21" s="157">
        <v>302.09922825000001</v>
      </c>
      <c r="I21" s="157">
        <f t="shared" ref="I21:I28" si="1">H21-F21</f>
        <v>19.849686749999989</v>
      </c>
      <c r="J21" s="138"/>
      <c r="K21" s="138"/>
      <c r="L21" s="138"/>
      <c r="M21" s="138"/>
      <c r="N21" s="138"/>
      <c r="O21" s="138"/>
      <c r="P21" s="138"/>
      <c r="Q21" s="138"/>
    </row>
    <row r="22" spans="1:17">
      <c r="A22" s="138"/>
      <c r="B22" s="138"/>
      <c r="C22" s="160" t="s">
        <v>23</v>
      </c>
      <c r="D22" s="160"/>
      <c r="E22" s="157">
        <v>306.02656999999999</v>
      </c>
      <c r="F22" s="157">
        <v>305.72656999999998</v>
      </c>
      <c r="G22" s="157">
        <f t="shared" si="0"/>
        <v>-0.30000000000001137</v>
      </c>
      <c r="H22" s="157">
        <v>445.17156999999997</v>
      </c>
      <c r="I22" s="157">
        <f t="shared" si="1"/>
        <v>139.44499999999999</v>
      </c>
      <c r="J22" s="138"/>
      <c r="K22" s="138"/>
      <c r="L22" s="138"/>
      <c r="M22" s="138"/>
      <c r="N22" s="138"/>
      <c r="O22" s="138"/>
      <c r="P22" s="138"/>
      <c r="Q22" s="138"/>
    </row>
    <row r="23" spans="1:17">
      <c r="A23" s="138"/>
      <c r="B23" s="138"/>
      <c r="C23" s="160" t="s">
        <v>25</v>
      </c>
      <c r="D23" s="160"/>
      <c r="E23" s="157">
        <v>179.05359999999999</v>
      </c>
      <c r="F23" s="157">
        <v>173.97628968253971</v>
      </c>
      <c r="G23" s="157">
        <f t="shared" si="0"/>
        <v>-5.0773103174602738</v>
      </c>
      <c r="H23" s="157">
        <v>207.84628968253946</v>
      </c>
      <c r="I23" s="157">
        <f t="shared" si="1"/>
        <v>33.869999999999749</v>
      </c>
      <c r="J23" s="138"/>
      <c r="K23" s="138"/>
      <c r="L23" s="138"/>
      <c r="M23" s="138"/>
      <c r="N23" s="138"/>
      <c r="O23" s="138"/>
      <c r="P23" s="138"/>
      <c r="Q23" s="138"/>
    </row>
    <row r="24" spans="1:17">
      <c r="A24" s="138"/>
      <c r="B24" s="138"/>
      <c r="C24" s="161" t="s">
        <v>26</v>
      </c>
      <c r="D24" s="161"/>
      <c r="E24" s="157">
        <v>285.0544849094</v>
      </c>
      <c r="F24" s="157">
        <v>274.73992220490277</v>
      </c>
      <c r="G24" s="157">
        <f t="shared" si="0"/>
        <v>-10.314562704497234</v>
      </c>
      <c r="H24" s="157">
        <v>292.13660026100001</v>
      </c>
      <c r="I24" s="157">
        <f t="shared" si="1"/>
        <v>17.396678056097244</v>
      </c>
      <c r="J24" s="138"/>
      <c r="K24" s="138"/>
      <c r="L24" s="138"/>
      <c r="M24" s="138"/>
      <c r="N24" s="138"/>
      <c r="O24" s="138"/>
      <c r="P24" s="138"/>
      <c r="Q24" s="138"/>
    </row>
    <row r="25" spans="1:17">
      <c r="A25" s="138"/>
      <c r="B25" s="138"/>
      <c r="C25" s="161" t="s">
        <v>27</v>
      </c>
      <c r="D25" s="161"/>
      <c r="E25" s="157">
        <v>71.2</v>
      </c>
      <c r="F25" s="157">
        <v>68.606488332384757</v>
      </c>
      <c r="G25" s="157">
        <f t="shared" si="0"/>
        <v>-2.5935116676152461</v>
      </c>
      <c r="H25" s="157">
        <v>68.606488332384757</v>
      </c>
      <c r="I25" s="157">
        <f t="shared" si="1"/>
        <v>0</v>
      </c>
      <c r="J25" s="138"/>
      <c r="K25" s="138"/>
      <c r="L25" s="138"/>
      <c r="M25" s="138"/>
      <c r="N25" s="138"/>
      <c r="O25" s="138"/>
      <c r="P25" s="138"/>
      <c r="Q25" s="138"/>
    </row>
    <row r="26" spans="1:17">
      <c r="A26" s="138"/>
      <c r="B26" s="138"/>
      <c r="C26" s="161" t="s">
        <v>24</v>
      </c>
      <c r="D26" s="161"/>
      <c r="E26" s="157">
        <v>275.17540176</v>
      </c>
      <c r="F26" s="157">
        <v>263.00907388884599</v>
      </c>
      <c r="G26" s="157">
        <f t="shared" si="0"/>
        <v>-12.16632787115401</v>
      </c>
      <c r="H26" s="157">
        <v>263.00907388884599</v>
      </c>
      <c r="I26" s="157">
        <f t="shared" si="1"/>
        <v>0</v>
      </c>
      <c r="J26" s="138"/>
      <c r="K26" s="138"/>
      <c r="L26" s="138"/>
      <c r="M26" s="138"/>
      <c r="N26" s="138"/>
      <c r="O26" s="138"/>
      <c r="P26" s="138"/>
      <c r="Q26" s="138"/>
    </row>
    <row r="27" spans="1:17">
      <c r="A27" s="138"/>
      <c r="B27" s="138"/>
      <c r="C27" s="161" t="s">
        <v>47</v>
      </c>
      <c r="D27" s="161"/>
      <c r="E27" s="157">
        <v>50.060499999999998</v>
      </c>
      <c r="F27" s="157">
        <v>48.331083333333339</v>
      </c>
      <c r="G27" s="157">
        <f t="shared" si="0"/>
        <v>-1.7294166666666584</v>
      </c>
      <c r="H27" s="157">
        <v>48.331083333333339</v>
      </c>
      <c r="I27" s="157">
        <f t="shared" si="1"/>
        <v>0</v>
      </c>
      <c r="J27" s="138"/>
      <c r="K27" s="138"/>
      <c r="L27" s="138"/>
      <c r="M27" s="138"/>
      <c r="N27" s="138"/>
      <c r="O27" s="138"/>
      <c r="P27" s="138"/>
      <c r="Q27" s="138"/>
    </row>
    <row r="28" spans="1:17">
      <c r="A28" s="138"/>
      <c r="B28" s="138"/>
      <c r="C28" s="161" t="s">
        <v>48</v>
      </c>
      <c r="D28" s="174"/>
      <c r="E28" s="142">
        <v>30.50974700916667</v>
      </c>
      <c r="F28" s="142">
        <v>31.059747009166664</v>
      </c>
      <c r="G28" s="157">
        <f t="shared" si="0"/>
        <v>0.54999999999999361</v>
      </c>
      <c r="H28" s="142">
        <v>31.059747009166664</v>
      </c>
      <c r="I28" s="157">
        <f t="shared" si="1"/>
        <v>0</v>
      </c>
      <c r="J28" s="138"/>
      <c r="K28" s="138"/>
      <c r="L28" s="138"/>
      <c r="M28" s="138"/>
      <c r="N28" s="138"/>
      <c r="O28" s="138"/>
      <c r="P28" s="138"/>
      <c r="Q28" s="138"/>
    </row>
    <row r="29" spans="1:17">
      <c r="A29" s="138"/>
      <c r="B29" s="138"/>
      <c r="C29" s="162" t="s">
        <v>32</v>
      </c>
      <c r="D29" s="175"/>
      <c r="E29" s="154">
        <f>SUM(E20:E28)</f>
        <v>3009.1139084785668</v>
      </c>
      <c r="F29" s="154">
        <f>SUM(F20:F28)</f>
        <v>2904.3855159511736</v>
      </c>
      <c r="G29" s="154">
        <f>SUM(G20:G28)</f>
        <v>-104.72839252739338</v>
      </c>
      <c r="H29" s="154">
        <f>SUM(H20:H28)</f>
        <v>3298.3740807572708</v>
      </c>
      <c r="I29" s="154">
        <f>SUM(I20:I28)</f>
        <v>393.98856480609709</v>
      </c>
      <c r="J29" s="138"/>
      <c r="K29" s="138"/>
      <c r="L29" s="138"/>
      <c r="M29" s="138"/>
      <c r="N29" s="138"/>
      <c r="O29" s="138"/>
      <c r="P29" s="138"/>
      <c r="Q29" s="138"/>
    </row>
    <row r="30" spans="1:17">
      <c r="A30" s="138"/>
      <c r="B30" s="138"/>
      <c r="C30" s="163" t="s">
        <v>87</v>
      </c>
      <c r="D30" s="176"/>
      <c r="E30" s="157">
        <v>70.972999999999999</v>
      </c>
      <c r="F30" s="158">
        <v>68.387756972111546</v>
      </c>
      <c r="G30" s="158">
        <f>F30-E30</f>
        <v>-2.5852430278884526</v>
      </c>
      <c r="H30" s="158">
        <v>68.387756972111546</v>
      </c>
      <c r="I30" s="158">
        <f>H30-F30</f>
        <v>0</v>
      </c>
      <c r="J30" s="138"/>
      <c r="K30" s="138"/>
      <c r="L30" s="138"/>
      <c r="M30" s="138"/>
      <c r="N30" s="138"/>
      <c r="O30" s="138"/>
      <c r="P30" s="138"/>
      <c r="Q30" s="138"/>
    </row>
    <row r="31" spans="1:17" ht="15" thickBot="1">
      <c r="A31" s="138"/>
      <c r="B31" s="138"/>
      <c r="C31" s="162" t="s">
        <v>88</v>
      </c>
      <c r="D31" s="177"/>
      <c r="E31" s="155">
        <f>SUM(E29:E30)</f>
        <v>3080.0869084785668</v>
      </c>
      <c r="F31" s="155">
        <f>SUM(F29:F30)</f>
        <v>2972.7732729232853</v>
      </c>
      <c r="G31" s="155">
        <f>F31-E31</f>
        <v>-107.31363555528151</v>
      </c>
      <c r="H31" s="155">
        <f>SUM(H29:H30)</f>
        <v>3366.7618377293825</v>
      </c>
      <c r="I31" s="155">
        <f>SUM(I29:I30)</f>
        <v>393.98856480609709</v>
      </c>
      <c r="J31" s="138"/>
      <c r="K31" s="138"/>
      <c r="L31" s="138"/>
      <c r="M31" s="138"/>
      <c r="N31" s="138"/>
      <c r="O31" s="138"/>
      <c r="P31" s="138"/>
      <c r="Q31" s="138"/>
    </row>
    <row r="32" spans="1:17">
      <c r="A32" s="138"/>
      <c r="B32" s="138"/>
      <c r="C32" s="138"/>
      <c r="D32" s="138"/>
      <c r="F32" s="150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</row>
    <row r="33" spans="1:17">
      <c r="A33" s="138"/>
      <c r="B33" s="138"/>
      <c r="C33" s="138"/>
      <c r="D33" s="138"/>
      <c r="F33" s="150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</row>
    <row r="34" spans="1:17">
      <c r="A34" s="138"/>
      <c r="B34" s="138"/>
      <c r="C34" s="138"/>
      <c r="D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</row>
    <row r="35" spans="1:17" ht="15" thickBot="1">
      <c r="A35" s="138"/>
      <c r="B35" s="138"/>
      <c r="C35" s="138"/>
      <c r="D35" s="138"/>
      <c r="G35" s="138"/>
      <c r="H35" s="138"/>
      <c r="I35" s="138"/>
      <c r="J35" s="138"/>
    </row>
    <row r="36" spans="1:17" ht="15" thickBot="1">
      <c r="A36" s="138"/>
      <c r="B36" s="138"/>
      <c r="C36" s="178" t="s">
        <v>17</v>
      </c>
      <c r="D36" s="182" t="s">
        <v>96</v>
      </c>
      <c r="E36" s="194" t="s">
        <v>95</v>
      </c>
      <c r="F36" s="194" t="s">
        <v>97</v>
      </c>
      <c r="G36" s="138"/>
      <c r="H36" s="197"/>
      <c r="I36" s="138"/>
      <c r="J36" s="138"/>
      <c r="K36" s="138"/>
    </row>
    <row r="37" spans="1:17">
      <c r="A37" s="138"/>
      <c r="B37" s="138"/>
      <c r="C37" s="179" t="s">
        <v>21</v>
      </c>
      <c r="D37" s="183">
        <v>140.62300526999991</v>
      </c>
      <c r="E37" s="187">
        <v>100.21099999999993</v>
      </c>
      <c r="F37" s="191">
        <f>D37-E37</f>
        <v>40.41200526999998</v>
      </c>
      <c r="G37" s="138"/>
      <c r="H37" s="173"/>
      <c r="I37" s="138"/>
      <c r="J37" s="138"/>
      <c r="K37" s="138"/>
    </row>
    <row r="38" spans="1:17">
      <c r="A38" s="138"/>
      <c r="B38" s="138"/>
      <c r="C38" s="180" t="s">
        <v>22</v>
      </c>
      <c r="D38" s="184">
        <v>6.6204256600000004</v>
      </c>
      <c r="E38" s="157">
        <v>0.6875</v>
      </c>
      <c r="F38" s="192">
        <f t="shared" ref="F38:F48" si="2">D38-E38</f>
        <v>5.9329256600000004</v>
      </c>
      <c r="G38" s="138"/>
      <c r="H38" s="152"/>
      <c r="I38" s="138"/>
      <c r="J38" s="138"/>
      <c r="K38" s="138"/>
    </row>
    <row r="39" spans="1:17">
      <c r="A39" s="138"/>
      <c r="B39" s="138"/>
      <c r="C39" s="180" t="s">
        <v>25</v>
      </c>
      <c r="D39" s="195">
        <v>0.37686236000000001</v>
      </c>
      <c r="E39" s="157">
        <v>3.86</v>
      </c>
      <c r="F39" s="192">
        <f t="shared" si="2"/>
        <v>-3.4831376399999998</v>
      </c>
      <c r="G39" s="138"/>
      <c r="H39" s="152"/>
      <c r="I39" s="138"/>
      <c r="J39" s="138"/>
      <c r="K39" s="138"/>
    </row>
    <row r="40" spans="1:17">
      <c r="A40" s="138"/>
      <c r="B40" s="138"/>
      <c r="C40" s="180" t="s">
        <v>23</v>
      </c>
      <c r="D40" s="184">
        <v>17.297811669999998</v>
      </c>
      <c r="E40" s="157">
        <v>28.984830708475581</v>
      </c>
      <c r="F40" s="192">
        <f t="shared" si="2"/>
        <v>-11.687019038475583</v>
      </c>
      <c r="G40" s="138"/>
      <c r="H40" s="152"/>
      <c r="I40" s="138"/>
      <c r="J40" s="138"/>
      <c r="K40" s="138"/>
    </row>
    <row r="41" spans="1:17">
      <c r="A41" s="138"/>
      <c r="B41" s="138"/>
      <c r="C41" s="180" t="s">
        <v>26</v>
      </c>
      <c r="D41" s="184">
        <v>7.7624341699999997</v>
      </c>
      <c r="E41" s="157">
        <v>21.638098500000002</v>
      </c>
      <c r="F41" s="192">
        <f t="shared" si="2"/>
        <v>-13.875664330000003</v>
      </c>
      <c r="G41" s="138"/>
      <c r="H41" s="152"/>
      <c r="I41" s="138"/>
      <c r="J41" s="138"/>
      <c r="K41" s="138"/>
    </row>
    <row r="42" spans="1:17">
      <c r="A42" s="138"/>
      <c r="B42" s="138"/>
      <c r="C42" s="180" t="s">
        <v>24</v>
      </c>
      <c r="D42" s="184">
        <v>1.1266569</v>
      </c>
      <c r="E42" s="157">
        <v>15.4786</v>
      </c>
      <c r="F42" s="192">
        <f t="shared" si="2"/>
        <v>-14.3519431</v>
      </c>
      <c r="G42" s="138"/>
      <c r="H42" s="152"/>
      <c r="I42" s="138"/>
      <c r="J42" s="138"/>
      <c r="K42" s="138"/>
    </row>
    <row r="43" spans="1:17">
      <c r="A43" s="138"/>
      <c r="B43" s="138"/>
      <c r="C43" s="180" t="s">
        <v>27</v>
      </c>
      <c r="D43" s="184">
        <v>1.2121389299999998</v>
      </c>
      <c r="E43" s="157">
        <v>3.8542970973249857</v>
      </c>
      <c r="F43" s="192">
        <f t="shared" si="2"/>
        <v>-2.6421581673249861</v>
      </c>
      <c r="G43" s="138"/>
      <c r="H43" s="152"/>
      <c r="I43" s="138"/>
      <c r="J43" s="138"/>
      <c r="K43" s="138"/>
    </row>
    <row r="44" spans="1:17">
      <c r="A44" s="138"/>
      <c r="B44" s="138"/>
      <c r="C44" s="180" t="s">
        <v>89</v>
      </c>
      <c r="D44" s="184">
        <v>0.08</v>
      </c>
      <c r="E44" s="157">
        <v>0</v>
      </c>
      <c r="F44" s="192">
        <f t="shared" si="2"/>
        <v>0.08</v>
      </c>
      <c r="G44" s="138"/>
      <c r="H44" s="152"/>
      <c r="I44" s="138"/>
      <c r="J44" s="138"/>
      <c r="K44" s="138"/>
    </row>
    <row r="45" spans="1:17">
      <c r="A45" s="138"/>
      <c r="B45" s="138"/>
      <c r="C45" s="180" t="s">
        <v>28</v>
      </c>
      <c r="D45" s="184">
        <v>1.0089342400000001</v>
      </c>
      <c r="E45" s="188">
        <v>0.45300000000000001</v>
      </c>
      <c r="F45" s="196">
        <f>D45-E45</f>
        <v>0.55593424000000002</v>
      </c>
      <c r="G45" s="138"/>
      <c r="H45" s="172"/>
      <c r="I45" s="138"/>
      <c r="J45" s="138"/>
      <c r="K45" s="138"/>
    </row>
    <row r="46" spans="1:17">
      <c r="A46" s="138"/>
      <c r="B46" s="138"/>
      <c r="C46" s="180" t="s">
        <v>29</v>
      </c>
      <c r="D46" s="184">
        <v>3.0487589999999998E-2</v>
      </c>
      <c r="E46" s="157">
        <v>0</v>
      </c>
      <c r="F46" s="192">
        <f t="shared" si="2"/>
        <v>3.0487589999999998E-2</v>
      </c>
      <c r="G46" s="138"/>
      <c r="H46" s="152"/>
      <c r="I46" s="138"/>
      <c r="J46" s="138"/>
      <c r="K46" s="138"/>
    </row>
    <row r="47" spans="1:17">
      <c r="A47" s="138"/>
      <c r="B47" s="138"/>
      <c r="C47" s="180" t="s">
        <v>14</v>
      </c>
      <c r="D47" s="184">
        <v>0</v>
      </c>
      <c r="E47" s="157">
        <v>0</v>
      </c>
      <c r="F47" s="192">
        <f t="shared" si="2"/>
        <v>0</v>
      </c>
      <c r="G47" s="138"/>
      <c r="H47" s="152"/>
      <c r="I47" s="138"/>
      <c r="J47" s="138"/>
      <c r="K47" s="138"/>
    </row>
    <row r="48" spans="1:17" ht="15" thickBot="1">
      <c r="A48" s="138"/>
      <c r="B48" s="138"/>
      <c r="C48" s="181" t="s">
        <v>30</v>
      </c>
      <c r="D48" s="185">
        <v>0</v>
      </c>
      <c r="E48" s="189">
        <v>0</v>
      </c>
      <c r="F48" s="193">
        <f t="shared" si="2"/>
        <v>0</v>
      </c>
      <c r="G48" s="138"/>
      <c r="H48" s="152"/>
      <c r="I48" s="138"/>
      <c r="J48" s="138"/>
      <c r="K48" s="138"/>
    </row>
    <row r="49" spans="3:11" ht="15" thickBot="1">
      <c r="C49" s="178" t="s">
        <v>32</v>
      </c>
      <c r="D49" s="186">
        <v>176.13875678999992</v>
      </c>
      <c r="E49" s="190">
        <f>SUM(E37:E48)</f>
        <v>175.16732630580049</v>
      </c>
      <c r="F49" s="190">
        <f>SUM(F37:F48)</f>
        <v>0.97143048419940847</v>
      </c>
      <c r="H49" s="152"/>
      <c r="I49" s="138"/>
      <c r="J49" s="138"/>
      <c r="K49" s="138"/>
    </row>
    <row r="50" spans="3:11">
      <c r="H50" s="138"/>
      <c r="I50" s="138"/>
      <c r="J50" s="138"/>
      <c r="K50" s="138"/>
    </row>
    <row r="51" spans="3:11">
      <c r="H51" s="138"/>
      <c r="I51" s="138"/>
      <c r="J51" s="138"/>
      <c r="K51" s="1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Projects Euro</vt:lpstr>
      <vt:lpstr>Projects USD</vt:lpstr>
      <vt:lpstr>Projects EGP</vt:lpstr>
      <vt:lpstr>Rates</vt:lpstr>
      <vt:lpstr>Projects Consolidation</vt:lpstr>
      <vt:lpstr>Sheet1</vt:lpstr>
      <vt:lpstr>PO's</vt:lpstr>
      <vt:lpstr>finance email</vt:lpstr>
      <vt:lpstr>Sheet3</vt:lpstr>
      <vt:lpstr>Budget comparison </vt:lpstr>
      <vt:lpstr>Summary</vt:lpstr>
    </vt:vector>
  </TitlesOfParts>
  <Company>MobiNil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mattia</dc:creator>
  <cp:lastModifiedBy>Mouhab Mahmoud Sakran</cp:lastModifiedBy>
  <cp:lastPrinted>2013-08-05T13:01:55Z</cp:lastPrinted>
  <dcterms:created xsi:type="dcterms:W3CDTF">2005-06-27T12:48:28Z</dcterms:created>
  <dcterms:modified xsi:type="dcterms:W3CDTF">2025-08-18T13:19:00Z</dcterms:modified>
</cp:coreProperties>
</file>