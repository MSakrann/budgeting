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sakran\Desktop\Budgeting\2026 Budget\2025 Budget and created PRs\"/>
    </mc:Choice>
  </mc:AlternateContent>
  <xr:revisionPtr revIDLastSave="0" documentId="13_ncr:1_{46FB6E18-01EC-4E0D-9E85-C70B8CA2F4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<sst xmlns="http://schemas.openxmlformats.org/spreadsheetml/2006/main" count="267" uniqueCount="53">
  <si>
    <t>PO #</t>
  </si>
  <si>
    <t>Amount in EGP Including Customs</t>
  </si>
  <si>
    <t>Project</t>
  </si>
  <si>
    <t>Orange Codes</t>
  </si>
  <si>
    <t>Month</t>
  </si>
  <si>
    <t>Full Code</t>
  </si>
  <si>
    <t>Sub Account</t>
  </si>
  <si>
    <t>Full Project</t>
  </si>
  <si>
    <t>Department</t>
  </si>
  <si>
    <t>Type</t>
  </si>
  <si>
    <t>Sub Division</t>
  </si>
  <si>
    <t>Original Currency</t>
  </si>
  <si>
    <t>Month Rate</t>
  </si>
  <si>
    <t>Original Amount</t>
  </si>
  <si>
    <t>Division</t>
  </si>
  <si>
    <t xml:space="preserve">Description </t>
  </si>
  <si>
    <t>DG1</t>
  </si>
  <si>
    <t xml:space="preserve">Jan </t>
  </si>
  <si>
    <t>1.345.121212.TRD.DG1</t>
  </si>
  <si>
    <t>TRD</t>
  </si>
  <si>
    <t>DG1 - TRD</t>
  </si>
  <si>
    <t>Digital</t>
  </si>
  <si>
    <t>Addition</t>
  </si>
  <si>
    <t>EGP</t>
  </si>
  <si>
    <t>Data Lake</t>
  </si>
  <si>
    <t>DATALAKE RETIRING _ AGGREGATE LAYER - 2024</t>
  </si>
  <si>
    <t>PE - VOUCHER ENHANCEMENTS SERVICES - 2024</t>
  </si>
  <si>
    <t>EUR</t>
  </si>
  <si>
    <t>DATA LAKE HW - STORAGE AND SWITCHS - 2024</t>
  </si>
  <si>
    <t>Mar</t>
  </si>
  <si>
    <t>DATA HW - 2025</t>
  </si>
  <si>
    <t>PROMO ENGINE SUPPORT FROM 01-JAN-25 TO 31-DEC-25</t>
  </si>
  <si>
    <t>MIGRATING ALL PIPELINES TO DL, ENGINEERING IMPLEMENTATION AND OPERATION 2023</t>
  </si>
  <si>
    <t>Apr</t>
  </si>
  <si>
    <t>DIGITAL TRANSFORMATION OUTSOURCING 2023</t>
  </si>
  <si>
    <t>DATALAKE RETIRING _ TOOLING IMPLEMENTATION (6 MONTHS) - 2024 (AMEND)</t>
  </si>
  <si>
    <t>USD</t>
  </si>
  <si>
    <t>DATA LAKE HW SERVERS - 2024</t>
  </si>
  <si>
    <t>May</t>
  </si>
  <si>
    <t>July</t>
  </si>
  <si>
    <t>DAILY TRENDS DASHBOARD-2025</t>
  </si>
  <si>
    <t>PE SERVICES FOR GVM AND UPSELLING LAYER-2025</t>
  </si>
  <si>
    <t>Aug</t>
  </si>
  <si>
    <t/>
  </si>
  <si>
    <t xml:space="preserve">DG1 - </t>
  </si>
  <si>
    <t>DataLake's Missing Ancillaries-2025</t>
  </si>
  <si>
    <t>Sep</t>
  </si>
  <si>
    <t>DIGITAL MODERNIZATION RESOURCES-2025</t>
  </si>
  <si>
    <t>Oct</t>
  </si>
  <si>
    <t>Promo Engine &amp; AI implementation</t>
  </si>
  <si>
    <t>Sum of Amount in EGP Including Customs</t>
  </si>
  <si>
    <t>Column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</si>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</sst>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EGP]\ #,##0"/>
    <numFmt numFmtId="165" formatCode="[$EGP]\ #,##0.00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4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40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0" fontId="0" fillId="0" borderId="0" xfId="0" pivotButton="1"/>
    <xf numFmtId="166" fontId="0" fillId="0" borderId="0" xfId="0" applyNumberFormat="1"/>
    <xf numFmtId="0" fontId="0" fillId="0" borderId="8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3">
    <dxf>
      <numFmt numFmtId="166" formatCode="_(* #,##0_);_(* \(#,##0\);_(* &quot;-&quot;??_);_(@_)"/>
    </dxf>
    <dxf>
      <numFmt numFmtId="167" formatCode="_(* #,##0.0_);_(* \(#,##0.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Ayman Marei" refreshedDate="45978.563425115739" createdVersion="6" refreshedVersion="6" minRefreshableVersion="3" recordCount="20" xr:uid="{00000000-000A-0000-FFFF-FFFF19000000}">
  <cacheSource type="worksheet">
    <worksheetSource ref="A1:Q21" sheet="Sheet1"/>
  </cacheSource>
  <cacheFields count="17">
    <cacheField name="PO #" numFmtId="0">
      <sharedItems containsSemiMixedTypes="0" containsString="0" containsNumber="1" containsInteger="1" minValue="58382" maxValue="64159"/>
    </cacheField>
    <cacheField name="Amount in EGP Including Customs" numFmtId="0">
      <sharedItems containsSemiMixedTypes="0" containsString="0" containsNumber="1" minValue="43191.72" maxValue="30669268.919999998"/>
    </cacheField>
    <cacheField name="Project" numFmtId="0">
      <sharedItems/>
    </cacheField>
    <cacheField name="Orange Codes" numFmtId="0">
      <sharedItems containsSemiMixedTypes="0" containsString="0" containsNumber="1" containsInteger="1" minValue="4700" maxValue="4910"/>
    </cacheField>
    <cacheField name="Month" numFmtId="0">
      <sharedItems count="8">
        <s v="Jan "/>
        <s v="Mar"/>
        <s v="Apr"/>
        <s v="May"/>
        <s v="July"/>
        <s v="Aug"/>
        <s v="Sep"/>
        <s v="Oct"/>
      </sharedItems>
    </cacheField>
    <cacheField name="Full Code" numFmtId="0">
      <sharedItems/>
    </cacheField>
    <cacheField name="Project2" numFmtId="0">
      <sharedItems/>
    </cacheField>
    <cacheField name="Sub Account" numFmtId="0">
      <sharedItems/>
    </cacheField>
    <cacheField name="Full Project" numFmtId="0">
      <sharedItems/>
    </cacheField>
    <cacheField name="Department" numFmtId="0">
      <sharedItems/>
    </cacheField>
    <cacheField name="Type" numFmtId="0">
      <sharedItems containsBlank="1"/>
    </cacheField>
    <cacheField name="Sub Division" numFmtId="0">
      <sharedItems/>
    </cacheField>
    <cacheField name="Original Currency" numFmtId="0">
      <sharedItems/>
    </cacheField>
    <cacheField name="Month Rate" numFmtId="0">
      <sharedItems containsSemiMixedTypes="0" containsString="0" containsNumber="1" minValue="1" maxValue="53.14"/>
    </cacheField>
    <cacheField name="Original Amount" numFmtId="3">
      <sharedItems containsSemiMixedTypes="0" containsString="0" containsNumber="1" minValue="43191.72" maxValue="3224934.5"/>
    </cacheField>
    <cacheField name="Division" numFmtId="0">
      <sharedItems/>
    </cacheField>
    <cacheField name="Description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n v="61110"/>
    <n v="143989.56"/>
    <s v="DG1"/>
    <n v="4700"/>
    <x v="0"/>
    <s v="1.345.121212.TRD.DG1"/>
    <s v="DG1"/>
    <s v="TRD"/>
    <s v="DG1 - TRD"/>
    <s v="Digital"/>
    <s v="Addition"/>
    <s v="Digital"/>
    <s v="EGP"/>
    <n v="1"/>
    <n v="143989.56"/>
    <s v="Data Lake"/>
    <s v="DATALAKE RETIRING _ AGGREGATE LAYER - 2024"/>
  </r>
  <r>
    <n v="61991"/>
    <n v="1170000"/>
    <s v="DG1"/>
    <n v="4700"/>
    <x v="0"/>
    <s v="1.345.121212.TRD.DG1"/>
    <s v="DG1"/>
    <s v="TRD"/>
    <s v="DG1 - TRD"/>
    <s v="Digital"/>
    <s v="Addition"/>
    <s v="Digital"/>
    <s v="EGP"/>
    <n v="1"/>
    <n v="1170000"/>
    <s v="Data Lake"/>
    <s v="PE - VOUCHER ENHANCEMENTS SERVICES - 2024"/>
  </r>
  <r>
    <n v="61574"/>
    <n v="30669268.919999998"/>
    <s v="DG1"/>
    <n v="4700"/>
    <x v="0"/>
    <s v="1.345.121212.TRD.DG1"/>
    <s v="DG1"/>
    <s v="TRD"/>
    <s v="DG1 - TRD"/>
    <s v="Digital"/>
    <s v="Addition"/>
    <s v="Digital"/>
    <s v="EUR"/>
    <n v="53.14"/>
    <n v="577140.92811441468"/>
    <s v="Data Lake"/>
    <s v="DATA LAKE HW - STORAGE AND SWITCHS - 2024"/>
  </r>
  <r>
    <n v="62606"/>
    <n v="399446"/>
    <s v="DG1"/>
    <n v="4700"/>
    <x v="1"/>
    <s v="1.345.121212.TRD.DG1"/>
    <s v="DG1"/>
    <s v="TRD"/>
    <s v="DG1 - TRD"/>
    <s v="Digital"/>
    <s v="Addition"/>
    <s v="Digital"/>
    <s v="EGP"/>
    <n v="1"/>
    <n v="399446"/>
    <s v="Data Lake"/>
    <s v="DATA HW - 2025"/>
  </r>
  <r>
    <n v="62775"/>
    <n v="1300000"/>
    <s v="DG1"/>
    <n v="4700"/>
    <x v="1"/>
    <s v="1.345.121212.TRD.DG1"/>
    <s v="DG1"/>
    <s v="TRD"/>
    <s v="DG1 - TRD"/>
    <s v="Digital"/>
    <s v="Addition"/>
    <s v="Digital"/>
    <s v="EGP"/>
    <n v="1"/>
    <n v="1300000"/>
    <s v="Data Lake"/>
    <s v="PROMO ENGINE SUPPORT FROM 01-JAN-25 TO 31-DEC-25"/>
  </r>
  <r>
    <n v="60080"/>
    <n v="1950000"/>
    <s v="DG1"/>
    <n v="4700"/>
    <x v="1"/>
    <s v="1.345.121212.TRD.DG1"/>
    <s v="DG1"/>
    <s v="TRD"/>
    <s v="DG1 - TRD"/>
    <s v="Digital"/>
    <s v="Addition"/>
    <s v="Digital"/>
    <s v="EGP"/>
    <n v="1"/>
    <n v="1950000"/>
    <s v="Data Lake"/>
    <s v="MIGRATING ALL PIPELINES TO DL, ENGINEERING IMPLEMENTATION AND OPERATION 2023"/>
  </r>
  <r>
    <n v="58382"/>
    <n v="88455"/>
    <s v="DG1"/>
    <n v="4700"/>
    <x v="2"/>
    <s v="1.345.121212.TRD.DG1"/>
    <s v="DG1"/>
    <s v="TRD"/>
    <s v="DG1 - TRD"/>
    <s v="Digital"/>
    <s v="Addition"/>
    <s v="Digital"/>
    <s v="EGP"/>
    <n v="1"/>
    <n v="88455"/>
    <s v="Data Lake"/>
    <s v="DIGITAL TRANSFORMATION OUTSOURCING 2023"/>
  </r>
  <r>
    <n v="60080"/>
    <n v="975000"/>
    <s v="DG1"/>
    <n v="4700"/>
    <x v="2"/>
    <s v="1.345.121212.TRD.DG1"/>
    <s v="DG1"/>
    <s v="TRD"/>
    <s v="DG1 - TRD"/>
    <s v="Digital"/>
    <s v="Addition"/>
    <s v="Digital"/>
    <s v="EGP"/>
    <n v="1"/>
    <n v="975000"/>
    <s v="Data Lake"/>
    <s v="MIGRATING ALL PIPELINES TO DL, ENGINEERING IMPLEMENTATION AND OPERATION 2023"/>
  </r>
  <r>
    <n v="61639"/>
    <n v="1075002.1499999999"/>
    <s v="DG1"/>
    <n v="4700"/>
    <x v="2"/>
    <s v="1.345.121212.TRD.DG1"/>
    <s v="DG1"/>
    <s v="TRD"/>
    <s v="DG1 - TRD"/>
    <s v="Digital"/>
    <s v="Addition"/>
    <s v="Digital"/>
    <s v="EGP"/>
    <n v="1"/>
    <n v="1075002.1499999999"/>
    <s v="Data Lake"/>
    <s v="DATALAKE RETIRING _ TOOLING IMPLEMENTATION (6 MONTHS) - 2024 (AMEND)"/>
  </r>
  <r>
    <n v="61612"/>
    <n v="14371322.229999999"/>
    <s v="DG1"/>
    <n v="4700"/>
    <x v="2"/>
    <s v="1.345.121212.TRD.DG1"/>
    <s v="DG1"/>
    <s v="TRD"/>
    <s v="DG1 - TRD"/>
    <s v="Digital"/>
    <s v="Addition"/>
    <s v="Digital"/>
    <s v="USD"/>
    <n v="51"/>
    <n v="281790.63196078426"/>
    <s v="Data Lake"/>
    <s v="DATA LAKE HW SERVERS - 2024"/>
  </r>
  <r>
    <n v="61110"/>
    <n v="43191.72"/>
    <s v="DG1"/>
    <n v="4700"/>
    <x v="3"/>
    <s v="1.345.121212.TRD.DG1"/>
    <s v="DG1"/>
    <s v="TRD"/>
    <s v="DG1 - TRD"/>
    <s v="Digital"/>
    <s v="Addition"/>
    <s v="Digital"/>
    <s v="EGP"/>
    <n v="1"/>
    <n v="43191.72"/>
    <s v="Data Lake"/>
    <s v="DATALAKE RETIRING _ AGGREGATE LAYER - 2024"/>
  </r>
  <r>
    <n v="61639"/>
    <n v="2150004.2999999998"/>
    <s v="DG1"/>
    <n v="4700"/>
    <x v="3"/>
    <s v="1.345.121212.TRD.DG1"/>
    <s v="DG1"/>
    <s v="TRD"/>
    <s v="DG1 - TRD"/>
    <s v="Digital"/>
    <s v="Addition"/>
    <s v="Digital"/>
    <s v="EGP"/>
    <n v="1"/>
    <n v="2150004.2999999998"/>
    <s v="Data Lake"/>
    <s v="DATALAKE RETIRING _ TOOLING IMPLEMENTATION (6 MONTHS) - 2024 (AMEND)"/>
  </r>
  <r>
    <n v="63600"/>
    <n v="150500"/>
    <s v="DG1"/>
    <n v="4700"/>
    <x v="4"/>
    <s v="1.345.121212.TRD.DG1"/>
    <s v="DG1"/>
    <s v="TRD"/>
    <s v="DG1 - TRD"/>
    <s v="Digital"/>
    <s v="Addition"/>
    <s v="Digital"/>
    <s v="EGP"/>
    <n v="1"/>
    <n v="150500"/>
    <s v="Data Lake"/>
    <s v="DAILY TRENDS DASHBOARD-2025"/>
  </r>
  <r>
    <n v="63570"/>
    <n v="1300000"/>
    <s v="DG1"/>
    <n v="4700"/>
    <x v="4"/>
    <s v="1.345.121212.TRD.DG1"/>
    <s v="DG1"/>
    <s v="TRD"/>
    <s v="DG1 - TRD"/>
    <s v="Digital"/>
    <s v="Addition"/>
    <s v="Digital"/>
    <s v="EGP"/>
    <n v="1"/>
    <n v="1300000"/>
    <s v="Data Lake"/>
    <s v="PE SERVICES FOR GVM AND UPSELLING LAYER-2025"/>
  </r>
  <r>
    <n v="63570"/>
    <n v="500000"/>
    <s v="DG1"/>
    <n v="4700"/>
    <x v="5"/>
    <s v="1.345.121212.TRD.DG1"/>
    <s v="DG1"/>
    <s v="TRD"/>
    <s v="DG1 - TRD"/>
    <s v="Digital"/>
    <s v="Addition"/>
    <s v="Digital"/>
    <s v="EGP"/>
    <n v="1"/>
    <n v="500000"/>
    <s v="Data Lake"/>
    <s v="PE SERVICES FOR GVM AND UPSELLING LAYER-2025"/>
  </r>
  <r>
    <n v="60080"/>
    <n v="975000"/>
    <s v="DG1"/>
    <n v="4700"/>
    <x v="5"/>
    <s v="1.345.121212.TRD.DG1"/>
    <s v="DG1"/>
    <s v="TRD"/>
    <s v="DG1 - TRD"/>
    <s v="Digital"/>
    <s v="Addition"/>
    <s v="Digital"/>
    <s v="EGP"/>
    <n v="1"/>
    <n v="975000"/>
    <s v="Data Lake"/>
    <s v="MIGRATING ALL PIPELINES TO DL, ENGINEERING IMPLEMENTATION AND OPERATION 2023"/>
  </r>
  <r>
    <n v="64078"/>
    <n v="2580090"/>
    <s v="DG1"/>
    <n v="4910"/>
    <x v="5"/>
    <s v="DG1"/>
    <s v="DG1"/>
    <s v=""/>
    <s v="DG1 - "/>
    <s v="Digital"/>
    <s v="Addition"/>
    <s v="Digital"/>
    <s v="EGP"/>
    <n v="1"/>
    <n v="2580090"/>
    <s v="Data Lake"/>
    <s v="DataLake's Missing Ancillaries-2025"/>
  </r>
  <r>
    <n v="61639"/>
    <n v="3224934.5"/>
    <s v="DG1"/>
    <n v="4700"/>
    <x v="5"/>
    <s v="1.345.121212.TRD.DG1"/>
    <s v="DG1"/>
    <s v="TRD"/>
    <s v="DG1 - TRD"/>
    <s v="Digital"/>
    <s v="Addition"/>
    <s v="Digital"/>
    <s v="EGP"/>
    <n v="1"/>
    <n v="3224934.5"/>
    <s v="Data Lake"/>
    <s v="DATALAKE RETIRING _ TOOLING IMPLEMENTATION (6 MONTHS) - 2024 (AMEND)"/>
  </r>
  <r>
    <n v="64159"/>
    <n v="1920478"/>
    <s v="DG1"/>
    <n v="4910"/>
    <x v="6"/>
    <s v="1.345.121212.TRD.DG1"/>
    <s v="DG1"/>
    <s v="TRD"/>
    <s v="DG1 - TRD"/>
    <s v="Digital"/>
    <m/>
    <s v="Digital"/>
    <s v="EGP"/>
    <n v="1"/>
    <n v="1920478"/>
    <s v="Data Lake"/>
    <s v="DIGITAL MODERNIZATION RESOURCES-2025"/>
  </r>
  <r>
    <n v="64062"/>
    <n v="1020000"/>
    <s v="DG1"/>
    <n v="4700"/>
    <x v="7"/>
    <s v="1.345.121212.TRD.DG1"/>
    <s v="DG1"/>
    <s v="TRD"/>
    <s v="DG1 - TRD"/>
    <s v="Digital"/>
    <s v="Addition"/>
    <s v="Digital"/>
    <s v="EGP"/>
    <n v="1"/>
    <n v="1020000"/>
    <s v="Data Lake"/>
    <s v="Promo Engine &amp; AI implementa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S5:AB7" firstHeaderRow="1" firstDataRow="2" firstDataCol="1"/>
  <pivotFields count="17">
    <pivotField showAll="0"/>
    <pivotField dataField="1" showAll="0"/>
    <pivotField showAll="0"/>
    <pivotField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</pivotFields>
  <rowItems count="1">
    <i/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mount in EGP Including Customs" fld="1" baseField="0" baseItem="0" numFmtId="166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"/>
  <sheetViews>
    <sheetView tabSelected="1" topLeftCell="H1" zoomScale="90" zoomScaleNormal="90" workbookViewId="0">
      <selection activeCell="I10" sqref="I10"/>
    </sheetView>
  </sheetViews>
  <sheetFormatPr defaultRowHeight="14.5" x14ac:dyDescent="0.35"/>
  <cols>
    <col min="1" max="1" width="6" bestFit="1" customWidth="1"/>
    <col min="2" max="2" width="33.36328125" bestFit="1" customWidth="1"/>
    <col min="3" max="3" width="7.54296875" bestFit="1" customWidth="1"/>
    <col min="4" max="4" width="14.08984375" bestFit="1" customWidth="1"/>
    <col min="5" max="5" width="7.36328125" bestFit="1" customWidth="1"/>
    <col min="6" max="6" width="20.1796875" bestFit="1" customWidth="1"/>
    <col min="7" max="7" width="7.54296875" bestFit="1" customWidth="1"/>
    <col min="8" max="8" width="12.54296875" bestFit="1" customWidth="1"/>
    <col min="9" max="9" width="11.453125" bestFit="1" customWidth="1"/>
    <col min="10" max="10" width="12.36328125" bestFit="1" customWidth="1"/>
    <col min="11" max="11" width="7.81640625" bestFit="1" customWidth="1"/>
    <col min="12" max="12" width="12.453125" bestFit="1" customWidth="1"/>
    <col min="13" max="13" width="17.36328125" bestFit="1" customWidth="1"/>
    <col min="14" max="14" width="12.08984375" bestFit="1" customWidth="1"/>
    <col min="15" max="15" width="16.54296875" bestFit="1" customWidth="1"/>
    <col min="16" max="16" width="9.08984375" bestFit="1" customWidth="1"/>
    <col min="17" max="17" width="77.08984375" bestFit="1" customWidth="1"/>
    <col min="19" max="19" width="36.6328125" bestFit="1" customWidth="1"/>
    <col min="20" max="20" width="15.54296875" customWidth="1"/>
    <col min="21" max="21" width="10.453125" customWidth="1"/>
    <col min="22" max="22" width="11.453125" customWidth="1"/>
    <col min="23" max="23" width="10.453125" bestFit="1" customWidth="1"/>
    <col min="24" max="24" width="10.453125" customWidth="1"/>
    <col min="25" max="26" width="10.453125" bestFit="1" customWidth="1"/>
    <col min="27" max="27" width="10.453125" customWidth="1"/>
    <col min="28" max="28" width="11.453125" customWidth="1"/>
  </cols>
  <sheetData>
    <row r="1" spans="1:28" ht="15.5" x14ac:dyDescent="0.35">
      <c r="A1" s="7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2</v>
      </c>
      <c r="H1" s="10" t="s">
        <v>6</v>
      </c>
      <c r="I1" s="10" t="s">
        <v>7</v>
      </c>
      <c r="J1" s="10" t="s">
        <v>8</v>
      </c>
      <c r="K1" s="10" t="s">
        <v>9</v>
      </c>
      <c r="L1" s="11" t="s">
        <v>10</v>
      </c>
      <c r="M1" s="10" t="s">
        <v>11</v>
      </c>
      <c r="N1" s="12" t="s">
        <v>12</v>
      </c>
      <c r="O1" s="10" t="s">
        <v>13</v>
      </c>
      <c r="P1" s="11" t="s">
        <v>14</v>
      </c>
      <c r="Q1" s="11" t="s">
        <v>15</v>
      </c>
    </row>
    <row r="2" spans="1:28" x14ac:dyDescent="0.35">
      <c r="A2" s="1">
        <v>61110</v>
      </c>
      <c r="B2" s="2">
        <v>143989.56</v>
      </c>
      <c r="C2" s="3" t="s">
        <v>16</v>
      </c>
      <c r="D2" s="4">
        <v>4700</v>
      </c>
      <c r="E2" s="4" t="s">
        <v>17</v>
      </c>
      <c r="F2" s="4" t="s">
        <v>18</v>
      </c>
      <c r="G2" s="4" t="s">
        <v>16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21</v>
      </c>
      <c r="M2" s="4" t="s">
        <v>23</v>
      </c>
      <c r="N2" s="4">
        <v>1</v>
      </c>
      <c r="O2" s="2">
        <v>143989.56</v>
      </c>
      <c r="P2" s="4" t="s">
        <v>24</v>
      </c>
      <c r="Q2" s="4" t="s">
        <v>25</v>
      </c>
    </row>
    <row r="3" spans="1:28" x14ac:dyDescent="0.35">
      <c r="A3" s="1">
        <v>61991</v>
      </c>
      <c r="B3" s="2">
        <v>1170000</v>
      </c>
      <c r="C3" s="3" t="s">
        <v>16</v>
      </c>
      <c r="D3" s="4">
        <v>4700</v>
      </c>
      <c r="E3" s="4" t="s">
        <v>17</v>
      </c>
      <c r="F3" s="4" t="s">
        <v>18</v>
      </c>
      <c r="G3" s="4" t="s">
        <v>16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21</v>
      </c>
      <c r="M3" s="4" t="s">
        <v>23</v>
      </c>
      <c r="N3" s="4">
        <v>1</v>
      </c>
      <c r="O3" s="2">
        <v>1170000</v>
      </c>
      <c r="P3" s="4" t="s">
        <v>24</v>
      </c>
      <c r="Q3" s="4" t="s">
        <v>26</v>
      </c>
    </row>
    <row r="4" spans="1:28" x14ac:dyDescent="0.35">
      <c r="A4" s="1">
        <v>61574</v>
      </c>
      <c r="B4" s="2">
        <v>30669268.919999998</v>
      </c>
      <c r="C4" s="3" t="s">
        <v>16</v>
      </c>
      <c r="D4" s="4">
        <v>4700</v>
      </c>
      <c r="E4" s="4" t="s">
        <v>17</v>
      </c>
      <c r="F4" s="4" t="s">
        <v>18</v>
      </c>
      <c r="G4" s="4" t="s">
        <v>16</v>
      </c>
      <c r="H4" s="4" t="s">
        <v>19</v>
      </c>
      <c r="I4" s="4" t="s">
        <v>20</v>
      </c>
      <c r="J4" s="4" t="s">
        <v>21</v>
      </c>
      <c r="K4" s="4" t="s">
        <v>22</v>
      </c>
      <c r="L4" s="4" t="s">
        <v>21</v>
      </c>
      <c r="M4" s="4" t="s">
        <v>27</v>
      </c>
      <c r="N4" s="4">
        <v>53.14</v>
      </c>
      <c r="O4" s="2">
        <v>577140.92811441468</v>
      </c>
      <c r="P4" s="4" t="s">
        <v>24</v>
      </c>
      <c r="Q4" s="4" t="s">
        <v>28</v>
      </c>
    </row>
    <row r="5" spans="1:28" x14ac:dyDescent="0.35">
      <c r="A5" s="1">
        <v>62606</v>
      </c>
      <c r="B5" s="2">
        <v>399446</v>
      </c>
      <c r="C5" s="3" t="s">
        <v>16</v>
      </c>
      <c r="D5" s="4">
        <v>4700</v>
      </c>
      <c r="E5" s="4" t="s">
        <v>29</v>
      </c>
      <c r="F5" s="4" t="s">
        <v>18</v>
      </c>
      <c r="G5" s="4" t="s">
        <v>16</v>
      </c>
      <c r="H5" s="4" t="s">
        <v>19</v>
      </c>
      <c r="I5" s="4" t="s">
        <v>20</v>
      </c>
      <c r="J5" s="4" t="s">
        <v>21</v>
      </c>
      <c r="K5" s="4" t="s">
        <v>22</v>
      </c>
      <c r="L5" s="4" t="s">
        <v>21</v>
      </c>
      <c r="M5" s="4" t="s">
        <v>23</v>
      </c>
      <c r="N5" s="4">
        <v>1</v>
      </c>
      <c r="O5" s="2">
        <v>399446</v>
      </c>
      <c r="P5" s="4" t="s">
        <v>24</v>
      </c>
      <c r="Q5" s="4" t="s">
        <v>30</v>
      </c>
      <c r="T5" s="14" t="s">
        <v>51</v>
      </c>
    </row>
    <row r="6" spans="1:28" x14ac:dyDescent="0.35">
      <c r="A6" s="1">
        <v>62775</v>
      </c>
      <c r="B6" s="2">
        <v>1300000</v>
      </c>
      <c r="C6" s="3" t="s">
        <v>16</v>
      </c>
      <c r="D6" s="4">
        <v>4700</v>
      </c>
      <c r="E6" s="4" t="s">
        <v>29</v>
      </c>
      <c r="F6" s="4" t="s">
        <v>18</v>
      </c>
      <c r="G6" s="4" t="s">
        <v>16</v>
      </c>
      <c r="H6" s="4" t="s">
        <v>19</v>
      </c>
      <c r="I6" s="4" t="s">
        <v>20</v>
      </c>
      <c r="J6" s="4" t="s">
        <v>21</v>
      </c>
      <c r="K6" s="4" t="s">
        <v>22</v>
      </c>
      <c r="L6" s="4" t="s">
        <v>21</v>
      </c>
      <c r="M6" s="4" t="s">
        <v>23</v>
      </c>
      <c r="N6" s="4">
        <v>1</v>
      </c>
      <c r="O6" s="2">
        <v>1300000</v>
      </c>
      <c r="P6" s="4" t="s">
        <v>24</v>
      </c>
      <c r="Q6" s="4" t="s">
        <v>31</v>
      </c>
      <c r="T6" t="s">
        <v>17</v>
      </c>
      <c r="U6" t="s">
        <v>29</v>
      </c>
      <c r="V6" t="s">
        <v>33</v>
      </c>
      <c r="W6" t="s">
        <v>38</v>
      </c>
      <c r="X6" t="s">
        <v>39</v>
      </c>
      <c r="Y6" t="s">
        <v>42</v>
      </c>
      <c r="Z6" t="s">
        <v>46</v>
      </c>
      <c r="AA6" t="s">
        <v>48</v>
      </c>
      <c r="AB6" t="s">
        <v>52</v>
      </c>
    </row>
    <row r="7" spans="1:28" x14ac:dyDescent="0.35">
      <c r="A7" s="1">
        <v>60080</v>
      </c>
      <c r="B7" s="2">
        <v>1950000</v>
      </c>
      <c r="C7" s="3" t="s">
        <v>16</v>
      </c>
      <c r="D7" s="4">
        <v>4700</v>
      </c>
      <c r="E7" s="4" t="s">
        <v>29</v>
      </c>
      <c r="F7" s="4" t="s">
        <v>18</v>
      </c>
      <c r="G7" s="4" t="s">
        <v>16</v>
      </c>
      <c r="H7" s="4" t="s">
        <v>19</v>
      </c>
      <c r="I7" s="4" t="s">
        <v>20</v>
      </c>
      <c r="J7" s="4" t="s">
        <v>21</v>
      </c>
      <c r="K7" s="4" t="s">
        <v>22</v>
      </c>
      <c r="L7" s="4" t="s">
        <v>21</v>
      </c>
      <c r="M7" s="4" t="s">
        <v>23</v>
      </c>
      <c r="N7" s="4">
        <v>1</v>
      </c>
      <c r="O7" s="2">
        <v>1950000</v>
      </c>
      <c r="P7" s="4" t="s">
        <v>24</v>
      </c>
      <c r="Q7" s="4" t="s">
        <v>32</v>
      </c>
      <c r="S7" t="s">
        <v>50</v>
      </c>
      <c r="T7" s="15">
        <v>31983258.479999997</v>
      </c>
      <c r="U7" s="15">
        <v>3649446</v>
      </c>
      <c r="V7" s="15">
        <v>16509779.379999999</v>
      </c>
      <c r="W7" s="15">
        <v>2193196.02</v>
      </c>
      <c r="X7" s="15">
        <v>1450500</v>
      </c>
      <c r="Y7" s="15">
        <v>7280024.5</v>
      </c>
      <c r="Z7" s="15">
        <v>1920478</v>
      </c>
      <c r="AA7" s="15">
        <v>1020000</v>
      </c>
      <c r="AB7" s="15">
        <v>66006682.380000003</v>
      </c>
    </row>
    <row r="8" spans="1:28" x14ac:dyDescent="0.35">
      <c r="A8" s="1">
        <v>58382</v>
      </c>
      <c r="B8" s="5">
        <v>88455</v>
      </c>
      <c r="C8" s="3" t="s">
        <v>16</v>
      </c>
      <c r="D8" s="4">
        <v>4700</v>
      </c>
      <c r="E8" s="4" t="s">
        <v>33</v>
      </c>
      <c r="F8" s="4" t="s">
        <v>18</v>
      </c>
      <c r="G8" s="4" t="s">
        <v>16</v>
      </c>
      <c r="H8" s="4" t="s">
        <v>19</v>
      </c>
      <c r="I8" s="4" t="s">
        <v>20</v>
      </c>
      <c r="J8" s="4" t="s">
        <v>21</v>
      </c>
      <c r="K8" s="4" t="s">
        <v>22</v>
      </c>
      <c r="L8" s="4" t="s">
        <v>21</v>
      </c>
      <c r="M8" s="4" t="s">
        <v>23</v>
      </c>
      <c r="N8" s="4">
        <v>1</v>
      </c>
      <c r="O8" s="2">
        <v>88455</v>
      </c>
      <c r="P8" s="4" t="s">
        <v>24</v>
      </c>
      <c r="Q8" s="4" t="s">
        <v>34</v>
      </c>
    </row>
    <row r="9" spans="1:28" x14ac:dyDescent="0.35">
      <c r="A9" s="1">
        <v>60080</v>
      </c>
      <c r="B9" s="2">
        <v>975000</v>
      </c>
      <c r="C9" s="3" t="s">
        <v>16</v>
      </c>
      <c r="D9" s="4">
        <v>4700</v>
      </c>
      <c r="E9" s="4" t="s">
        <v>33</v>
      </c>
      <c r="F9" s="4" t="s">
        <v>18</v>
      </c>
      <c r="G9" s="4" t="s">
        <v>16</v>
      </c>
      <c r="H9" s="4" t="s">
        <v>19</v>
      </c>
      <c r="I9" s="4" t="s">
        <v>20</v>
      </c>
      <c r="J9" s="4" t="s">
        <v>21</v>
      </c>
      <c r="K9" s="4" t="s">
        <v>22</v>
      </c>
      <c r="L9" s="4" t="s">
        <v>21</v>
      </c>
      <c r="M9" s="4" t="s">
        <v>23</v>
      </c>
      <c r="N9" s="4">
        <v>1</v>
      </c>
      <c r="O9" s="2">
        <v>975000</v>
      </c>
      <c r="P9" s="4" t="s">
        <v>24</v>
      </c>
      <c r="Q9" s="4" t="s">
        <v>32</v>
      </c>
    </row>
    <row r="10" spans="1:28" x14ac:dyDescent="0.35">
      <c r="A10" s="1">
        <v>61639</v>
      </c>
      <c r="B10" s="2">
        <v>1075002.1499999999</v>
      </c>
      <c r="C10" s="3" t="s">
        <v>16</v>
      </c>
      <c r="D10" s="4">
        <v>4700</v>
      </c>
      <c r="E10" s="4" t="s">
        <v>33</v>
      </c>
      <c r="F10" s="4" t="s">
        <v>18</v>
      </c>
      <c r="G10" s="4" t="s">
        <v>16</v>
      </c>
      <c r="H10" s="4" t="s">
        <v>19</v>
      </c>
      <c r="I10" s="4" t="s">
        <v>20</v>
      </c>
      <c r="J10" s="4" t="s">
        <v>21</v>
      </c>
      <c r="K10" s="4" t="s">
        <v>22</v>
      </c>
      <c r="L10" s="4" t="s">
        <v>21</v>
      </c>
      <c r="M10" s="4" t="s">
        <v>23</v>
      </c>
      <c r="N10" s="4">
        <v>1</v>
      </c>
      <c r="O10" s="2">
        <v>1075002.1499999999</v>
      </c>
      <c r="P10" s="4" t="s">
        <v>24</v>
      </c>
      <c r="Q10" s="4" t="s">
        <v>35</v>
      </c>
    </row>
    <row r="11" spans="1:28" x14ac:dyDescent="0.35">
      <c r="A11" s="6">
        <v>61612</v>
      </c>
      <c r="B11" s="5">
        <v>14371322.229999999</v>
      </c>
      <c r="C11" s="3" t="s">
        <v>16</v>
      </c>
      <c r="D11" s="4">
        <v>4700</v>
      </c>
      <c r="E11" s="4" t="s">
        <v>33</v>
      </c>
      <c r="F11" s="4" t="s">
        <v>18</v>
      </c>
      <c r="G11" s="4" t="s">
        <v>16</v>
      </c>
      <c r="H11" s="4" t="s">
        <v>19</v>
      </c>
      <c r="I11" s="4" t="s">
        <v>20</v>
      </c>
      <c r="J11" s="4" t="s">
        <v>21</v>
      </c>
      <c r="K11" s="4" t="s">
        <v>22</v>
      </c>
      <c r="L11" s="4" t="s">
        <v>21</v>
      </c>
      <c r="M11" s="4" t="s">
        <v>36</v>
      </c>
      <c r="N11" s="4">
        <v>51</v>
      </c>
      <c r="O11" s="2">
        <v>281790.63196078426</v>
      </c>
      <c r="P11" s="4" t="s">
        <v>24</v>
      </c>
      <c r="Q11" s="4" t="s">
        <v>37</v>
      </c>
    </row>
    <row r="12" spans="1:28" x14ac:dyDescent="0.35">
      <c r="A12" s="1">
        <v>61110</v>
      </c>
      <c r="B12" s="2">
        <v>43191.72</v>
      </c>
      <c r="C12" s="3" t="s">
        <v>16</v>
      </c>
      <c r="D12" s="4">
        <v>4700</v>
      </c>
      <c r="E12" s="4" t="s">
        <v>38</v>
      </c>
      <c r="F12" s="4" t="s">
        <v>18</v>
      </c>
      <c r="G12" s="4" t="s">
        <v>16</v>
      </c>
      <c r="H12" s="4" t="s">
        <v>19</v>
      </c>
      <c r="I12" s="4" t="s">
        <v>20</v>
      </c>
      <c r="J12" s="4" t="s">
        <v>21</v>
      </c>
      <c r="K12" s="4" t="s">
        <v>22</v>
      </c>
      <c r="L12" s="4" t="s">
        <v>21</v>
      </c>
      <c r="M12" s="4" t="s">
        <v>23</v>
      </c>
      <c r="N12" s="4">
        <v>1</v>
      </c>
      <c r="O12" s="2">
        <v>43191.72</v>
      </c>
      <c r="P12" s="4" t="s">
        <v>24</v>
      </c>
      <c r="Q12" s="4" t="s">
        <v>25</v>
      </c>
    </row>
    <row r="13" spans="1:28" x14ac:dyDescent="0.35">
      <c r="A13" s="1">
        <v>61639</v>
      </c>
      <c r="B13" s="2">
        <v>2150004.2999999998</v>
      </c>
      <c r="C13" s="3" t="s">
        <v>16</v>
      </c>
      <c r="D13" s="4">
        <v>4700</v>
      </c>
      <c r="E13" s="4" t="s">
        <v>38</v>
      </c>
      <c r="F13" s="4" t="s">
        <v>18</v>
      </c>
      <c r="G13" s="4" t="s">
        <v>16</v>
      </c>
      <c r="H13" s="4" t="s">
        <v>19</v>
      </c>
      <c r="I13" s="4" t="s">
        <v>20</v>
      </c>
      <c r="J13" s="4" t="s">
        <v>21</v>
      </c>
      <c r="K13" s="4" t="s">
        <v>22</v>
      </c>
      <c r="L13" s="4" t="s">
        <v>21</v>
      </c>
      <c r="M13" s="4" t="s">
        <v>23</v>
      </c>
      <c r="N13" s="4">
        <v>1</v>
      </c>
      <c r="O13" s="2">
        <v>2150004.2999999998</v>
      </c>
      <c r="P13" s="4" t="s">
        <v>24</v>
      </c>
      <c r="Q13" s="4" t="s">
        <v>35</v>
      </c>
    </row>
    <row r="14" spans="1:28" x14ac:dyDescent="0.35">
      <c r="A14" s="1">
        <v>63600</v>
      </c>
      <c r="B14" s="2">
        <v>150500</v>
      </c>
      <c r="C14" s="3" t="s">
        <v>16</v>
      </c>
      <c r="D14" s="4">
        <v>4700</v>
      </c>
      <c r="E14" s="4" t="s">
        <v>39</v>
      </c>
      <c r="F14" s="4" t="s">
        <v>18</v>
      </c>
      <c r="G14" s="4" t="s">
        <v>16</v>
      </c>
      <c r="H14" s="4" t="s">
        <v>19</v>
      </c>
      <c r="I14" s="4" t="s">
        <v>20</v>
      </c>
      <c r="J14" s="4" t="s">
        <v>21</v>
      </c>
      <c r="K14" s="4" t="s">
        <v>22</v>
      </c>
      <c r="L14" s="4" t="s">
        <v>21</v>
      </c>
      <c r="M14" s="4" t="s">
        <v>23</v>
      </c>
      <c r="N14" s="4">
        <v>1</v>
      </c>
      <c r="O14" s="2">
        <v>150500</v>
      </c>
      <c r="P14" s="4" t="s">
        <v>24</v>
      </c>
      <c r="Q14" s="4" t="s">
        <v>40</v>
      </c>
    </row>
    <row r="15" spans="1:28" x14ac:dyDescent="0.35">
      <c r="A15" s="1">
        <v>63570</v>
      </c>
      <c r="B15" s="2">
        <v>1300000</v>
      </c>
      <c r="C15" s="3" t="s">
        <v>16</v>
      </c>
      <c r="D15" s="4">
        <v>4700</v>
      </c>
      <c r="E15" s="4" t="s">
        <v>39</v>
      </c>
      <c r="F15" s="4" t="s">
        <v>18</v>
      </c>
      <c r="G15" s="4" t="s">
        <v>16</v>
      </c>
      <c r="H15" s="4" t="s">
        <v>19</v>
      </c>
      <c r="I15" s="4" t="s">
        <v>20</v>
      </c>
      <c r="J15" s="4" t="s">
        <v>21</v>
      </c>
      <c r="K15" s="4" t="s">
        <v>22</v>
      </c>
      <c r="L15" s="4" t="s">
        <v>21</v>
      </c>
      <c r="M15" s="4" t="s">
        <v>23</v>
      </c>
      <c r="N15" s="4">
        <v>1</v>
      </c>
      <c r="O15" s="2">
        <v>1300000</v>
      </c>
      <c r="P15" s="4" t="s">
        <v>24</v>
      </c>
      <c r="Q15" s="4" t="s">
        <v>41</v>
      </c>
    </row>
    <row r="16" spans="1:28" x14ac:dyDescent="0.35">
      <c r="A16" s="1">
        <v>63570</v>
      </c>
      <c r="B16" s="2">
        <v>500000</v>
      </c>
      <c r="C16" s="3" t="s">
        <v>16</v>
      </c>
      <c r="D16" s="4">
        <v>4700</v>
      </c>
      <c r="E16" s="4" t="s">
        <v>42</v>
      </c>
      <c r="F16" s="4" t="s">
        <v>18</v>
      </c>
      <c r="G16" s="4" t="s">
        <v>16</v>
      </c>
      <c r="H16" s="4" t="s">
        <v>19</v>
      </c>
      <c r="I16" s="4" t="s">
        <v>20</v>
      </c>
      <c r="J16" s="4" t="s">
        <v>21</v>
      </c>
      <c r="K16" s="4" t="s">
        <v>22</v>
      </c>
      <c r="L16" s="4" t="s">
        <v>21</v>
      </c>
      <c r="M16" s="4" t="s">
        <v>23</v>
      </c>
      <c r="N16" s="4">
        <v>1</v>
      </c>
      <c r="O16" s="2">
        <v>500000</v>
      </c>
      <c r="P16" s="4" t="s">
        <v>24</v>
      </c>
      <c r="Q16" s="4" t="s">
        <v>41</v>
      </c>
    </row>
    <row r="17" spans="1:17" x14ac:dyDescent="0.35">
      <c r="A17" s="1">
        <v>60080</v>
      </c>
      <c r="B17" s="2">
        <v>975000</v>
      </c>
      <c r="C17" s="3" t="s">
        <v>16</v>
      </c>
      <c r="D17" s="4">
        <v>4700</v>
      </c>
      <c r="E17" s="4" t="s">
        <v>42</v>
      </c>
      <c r="F17" s="4" t="s">
        <v>18</v>
      </c>
      <c r="G17" s="4" t="s">
        <v>16</v>
      </c>
      <c r="H17" s="4" t="s">
        <v>19</v>
      </c>
      <c r="I17" s="4" t="s">
        <v>20</v>
      </c>
      <c r="J17" s="4" t="s">
        <v>21</v>
      </c>
      <c r="K17" s="4" t="s">
        <v>22</v>
      </c>
      <c r="L17" s="4" t="s">
        <v>21</v>
      </c>
      <c r="M17" s="4" t="s">
        <v>23</v>
      </c>
      <c r="N17" s="4">
        <v>1</v>
      </c>
      <c r="O17" s="2">
        <v>975000</v>
      </c>
      <c r="P17" s="4" t="s">
        <v>24</v>
      </c>
      <c r="Q17" s="4" t="s">
        <v>32</v>
      </c>
    </row>
    <row r="18" spans="1:17" x14ac:dyDescent="0.35">
      <c r="A18" s="1">
        <v>64078</v>
      </c>
      <c r="B18" s="2">
        <v>2580090</v>
      </c>
      <c r="C18" s="3" t="s">
        <v>16</v>
      </c>
      <c r="D18" s="4">
        <v>4910</v>
      </c>
      <c r="E18" s="4" t="s">
        <v>42</v>
      </c>
      <c r="F18" s="4" t="s">
        <v>16</v>
      </c>
      <c r="G18" s="4" t="s">
        <v>16</v>
      </c>
      <c r="H18" s="4" t="s">
        <v>43</v>
      </c>
      <c r="I18" s="4" t="s">
        <v>44</v>
      </c>
      <c r="J18" s="4" t="s">
        <v>21</v>
      </c>
      <c r="K18" s="4" t="s">
        <v>22</v>
      </c>
      <c r="L18" s="4" t="s">
        <v>21</v>
      </c>
      <c r="M18" s="4" t="s">
        <v>23</v>
      </c>
      <c r="N18" s="4">
        <v>1</v>
      </c>
      <c r="O18" s="2">
        <v>2580090</v>
      </c>
      <c r="P18" s="4" t="s">
        <v>24</v>
      </c>
      <c r="Q18" s="4" t="s">
        <v>45</v>
      </c>
    </row>
    <row r="19" spans="1:17" x14ac:dyDescent="0.35">
      <c r="A19" s="1">
        <v>61639</v>
      </c>
      <c r="B19" s="2">
        <v>3224934.5</v>
      </c>
      <c r="C19" s="3" t="s">
        <v>16</v>
      </c>
      <c r="D19" s="4">
        <v>4700</v>
      </c>
      <c r="E19" s="4" t="s">
        <v>42</v>
      </c>
      <c r="F19" s="4" t="s">
        <v>18</v>
      </c>
      <c r="G19" s="4" t="s">
        <v>16</v>
      </c>
      <c r="H19" s="4" t="s">
        <v>19</v>
      </c>
      <c r="I19" s="4" t="s">
        <v>20</v>
      </c>
      <c r="J19" s="4" t="s">
        <v>21</v>
      </c>
      <c r="K19" s="4" t="s">
        <v>22</v>
      </c>
      <c r="L19" s="4" t="s">
        <v>21</v>
      </c>
      <c r="M19" s="4" t="s">
        <v>23</v>
      </c>
      <c r="N19" s="4">
        <v>1</v>
      </c>
      <c r="O19" s="2">
        <v>3224934.5</v>
      </c>
      <c r="P19" s="4" t="s">
        <v>24</v>
      </c>
      <c r="Q19" s="4" t="s">
        <v>35</v>
      </c>
    </row>
    <row r="20" spans="1:17" x14ac:dyDescent="0.35">
      <c r="A20" s="1">
        <v>64159</v>
      </c>
      <c r="B20" s="2">
        <v>1920478</v>
      </c>
      <c r="C20" s="3" t="s">
        <v>16</v>
      </c>
      <c r="D20" s="4">
        <v>4910</v>
      </c>
      <c r="E20" s="4" t="s">
        <v>46</v>
      </c>
      <c r="F20" s="4" t="s">
        <v>18</v>
      </c>
      <c r="G20" s="4" t="s">
        <v>16</v>
      </c>
      <c r="H20" s="4" t="s">
        <v>19</v>
      </c>
      <c r="I20" s="4" t="s">
        <v>20</v>
      </c>
      <c r="J20" s="4" t="s">
        <v>21</v>
      </c>
      <c r="K20" s="4"/>
      <c r="L20" s="4" t="s">
        <v>21</v>
      </c>
      <c r="M20" s="4" t="s">
        <v>23</v>
      </c>
      <c r="N20" s="4">
        <v>1</v>
      </c>
      <c r="O20" s="2">
        <v>1920478</v>
      </c>
      <c r="P20" s="4" t="s">
        <v>24</v>
      </c>
      <c r="Q20" s="4" t="s">
        <v>47</v>
      </c>
    </row>
    <row r="21" spans="1:17" x14ac:dyDescent="0.35">
      <c r="A21" s="16">
        <v>64062</v>
      </c>
      <c r="B21" s="17">
        <v>1020000</v>
      </c>
      <c r="C21" s="18" t="s">
        <v>16</v>
      </c>
      <c r="D21" s="19">
        <v>4700</v>
      </c>
      <c r="E21" s="19" t="s">
        <v>48</v>
      </c>
      <c r="F21" s="19" t="s">
        <v>18</v>
      </c>
      <c r="G21" s="19" t="s">
        <v>16</v>
      </c>
      <c r="H21" s="19" t="s">
        <v>19</v>
      </c>
      <c r="I21" s="19" t="s">
        <v>20</v>
      </c>
      <c r="J21" s="19" t="s">
        <v>21</v>
      </c>
      <c r="K21" s="19" t="s">
        <v>22</v>
      </c>
      <c r="L21" s="19" t="s">
        <v>21</v>
      </c>
      <c r="M21" s="19" t="s">
        <v>23</v>
      </c>
      <c r="N21" s="19">
        <v>1</v>
      </c>
      <c r="O21" s="17">
        <v>1020000</v>
      </c>
      <c r="P21" s="19" t="s">
        <v>24</v>
      </c>
      <c r="Q21" s="19" t="s">
        <v>49</v>
      </c>
    </row>
    <row r="22" spans="1:17" x14ac:dyDescent="0.35">
      <c r="B22" s="13">
        <f>SUM(B2:B21)</f>
        <v>66006682.379999988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Ayman Marei</dc:creator>
  <cp:lastModifiedBy>Mouhab Mahmoud Sakran</cp:lastModifiedBy>
  <dcterms:created xsi:type="dcterms:W3CDTF">2025-11-17T11:29:53Z</dcterms:created>
  <dcterms:modified xsi:type="dcterms:W3CDTF">2025-12-16T08:22:06Z</dcterms:modified>
</cp:coreProperties>
</file>