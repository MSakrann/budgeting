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kran\Desktop\Budgeting\2026 Budget\"/>
    </mc:Choice>
  </mc:AlternateContent>
  <xr:revisionPtr revIDLastSave="0" documentId="8_{B93174EF-E131-44B0-8064-CAD22671F3E3}" xr6:coauthVersionLast="47" xr6:coauthVersionMax="47" xr10:uidLastSave="{00000000-0000-0000-0000-000000000000}"/>
  <bookViews>
    <workbookView xWindow="-110" yWindow="-110" windowWidth="19420" windowHeight="10300" activeTab="1" xr2:uid="{4DE43847-5BA1-4B9E-B598-67CFECFC0C84}"/>
  </bookViews>
  <sheets>
    <sheet name="2025 (7+5)" sheetId="1" r:id="rId1"/>
    <sheet name="2026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G2" i="3"/>
  <c r="H2" i="3"/>
  <c r="I2" i="3"/>
  <c r="J2" i="3"/>
  <c r="K2" i="3"/>
  <c r="L2" i="3"/>
  <c r="M2" i="3"/>
  <c r="N2" i="3"/>
  <c r="O2" i="3"/>
  <c r="P2" i="3"/>
  <c r="Q2" i="3"/>
  <c r="F2" i="3"/>
  <c r="R2" i="1"/>
  <c r="G2" i="1"/>
  <c r="H2" i="1"/>
  <c r="I2" i="1"/>
  <c r="J2" i="1"/>
  <c r="K2" i="1"/>
  <c r="L2" i="1"/>
  <c r="M2" i="1"/>
  <c r="N2" i="1"/>
  <c r="O2" i="1"/>
  <c r="P2" i="1"/>
  <c r="Q2" i="1"/>
  <c r="F2" i="1"/>
  <c r="R3" i="3"/>
  <c r="R4" i="3"/>
  <c r="R5" i="3"/>
  <c r="R6" i="3"/>
  <c r="R7" i="3"/>
  <c r="C13" i="3"/>
  <c r="D13" i="3" s="1"/>
  <c r="C12" i="3"/>
  <c r="D12" i="3" s="1"/>
  <c r="C11" i="3"/>
  <c r="C15" i="3" l="1"/>
  <c r="R8" i="3"/>
  <c r="D11" i="3"/>
  <c r="D15" i="3" s="1"/>
  <c r="R8" i="1" l="1"/>
  <c r="C13" i="1" l="1"/>
  <c r="D13" i="1" s="1"/>
  <c r="C12" i="1"/>
  <c r="D12" i="1" s="1"/>
  <c r="C11" i="1"/>
  <c r="C15" i="1" s="1"/>
  <c r="D11" i="1" l="1"/>
  <c r="D15" i="1" s="1"/>
</calcChain>
</file>

<file path=xl/sharedStrings.xml><?xml version="1.0" encoding="utf-8"?>
<sst xmlns="http://schemas.openxmlformats.org/spreadsheetml/2006/main" count="54" uniqueCount="15">
  <si>
    <t>Owner</t>
  </si>
  <si>
    <t>Budget line</t>
  </si>
  <si>
    <t>Currency</t>
  </si>
  <si>
    <t>EGP</t>
  </si>
  <si>
    <t>Data lake</t>
  </si>
  <si>
    <t>PE Support</t>
  </si>
  <si>
    <t>Notion Tool</t>
  </si>
  <si>
    <t>USD</t>
  </si>
  <si>
    <t>Slake</t>
  </si>
  <si>
    <t>Hardware Support</t>
  </si>
  <si>
    <t>Renewal of Colibra Quality Tool</t>
  </si>
  <si>
    <t>Rate</t>
  </si>
  <si>
    <t>Amount Currency</t>
  </si>
  <si>
    <t>EUR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</si>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</sst>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/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/>
    <xf numFmtId="3" fontId="2" fillId="0" borderId="3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0" fillId="0" borderId="0" xfId="0" applyNumberFormat="1"/>
    <xf numFmtId="0" fontId="0" fillId="2" borderId="6" xfId="0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164" fontId="0" fillId="0" borderId="6" xfId="1" applyNumberFormat="1" applyFont="1" applyBorder="1"/>
    <xf numFmtId="0" fontId="0" fillId="0" borderId="6" xfId="0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15" fontId="2" fillId="4" borderId="7" xfId="0" applyNumberFormat="1" applyFont="1" applyFill="1" applyBorder="1" applyAlignment="1">
      <alignment horizontal="center"/>
    </xf>
    <xf numFmtId="164" fontId="0" fillId="0" borderId="3" xfId="0" applyNumberFormat="1" applyBorder="1"/>
    <xf numFmtId="164" fontId="2" fillId="0" borderId="3" xfId="0" applyNumberFormat="1" applyFont="1" applyBorder="1"/>
    <xf numFmtId="0" fontId="2" fillId="0" borderId="3" xfId="0" applyFont="1" applyBorder="1"/>
    <xf numFmtId="3" fontId="4" fillId="0" borderId="0" xfId="0" applyNumberFormat="1" applyFont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CA27-28CD-45CC-814D-E3E334751350}">
  <dimension ref="A1:R17"/>
  <sheetViews>
    <sheetView showGridLines="0" topLeftCell="B1" workbookViewId="0">
      <selection activeCell="L8" sqref="L8"/>
    </sheetView>
  </sheetViews>
  <sheetFormatPr defaultRowHeight="14.5" x14ac:dyDescent="0.35"/>
  <cols>
    <col min="1" max="1" width="18.81640625" customWidth="1"/>
    <col min="2" max="2" width="60.81640625" customWidth="1"/>
    <col min="3" max="3" width="16.1796875" bestFit="1" customWidth="1"/>
    <col min="4" max="4" width="16.81640625" bestFit="1" customWidth="1"/>
    <col min="5" max="5" width="2.453125" customWidth="1"/>
    <col min="6" max="6" width="11.54296875" bestFit="1" customWidth="1"/>
    <col min="18" max="18" width="10.1796875" bestFit="1" customWidth="1"/>
  </cols>
  <sheetData>
    <row r="1" spans="1:18" s="1" customFormat="1" ht="15" thickBot="1" x14ac:dyDescent="0.4">
      <c r="A1" s="23" t="s">
        <v>0</v>
      </c>
      <c r="B1" s="24" t="s">
        <v>1</v>
      </c>
      <c r="C1" s="24">
        <v>2025</v>
      </c>
      <c r="D1" s="24"/>
      <c r="F1" s="18">
        <v>45658</v>
      </c>
      <c r="G1" s="18">
        <v>45689</v>
      </c>
      <c r="H1" s="18">
        <v>45717</v>
      </c>
      <c r="I1" s="18">
        <v>45748</v>
      </c>
      <c r="J1" s="18">
        <v>45778</v>
      </c>
      <c r="K1" s="18">
        <v>45809</v>
      </c>
      <c r="L1" s="18">
        <v>45839</v>
      </c>
      <c r="M1" s="18">
        <v>45870</v>
      </c>
      <c r="N1" s="18">
        <v>45901</v>
      </c>
      <c r="O1" s="18">
        <v>45931</v>
      </c>
      <c r="P1" s="18">
        <v>45962</v>
      </c>
      <c r="Q1" s="18">
        <v>45992</v>
      </c>
      <c r="R1" s="17" t="s">
        <v>14</v>
      </c>
    </row>
    <row r="2" spans="1:18" s="1" customFormat="1" ht="15" thickBot="1" x14ac:dyDescent="0.4">
      <c r="A2" s="23"/>
      <c r="B2" s="24"/>
      <c r="C2" s="12" t="s">
        <v>12</v>
      </c>
      <c r="D2" s="12" t="s">
        <v>2</v>
      </c>
      <c r="F2" s="19">
        <f>2720200/12</f>
        <v>226683.33333333334</v>
      </c>
      <c r="G2" s="19">
        <f t="shared" ref="G2:Q2" si="0">2720200/12</f>
        <v>226683.33333333334</v>
      </c>
      <c r="H2" s="19">
        <f t="shared" si="0"/>
        <v>226683.33333333334</v>
      </c>
      <c r="I2" s="19">
        <f t="shared" si="0"/>
        <v>226683.33333333334</v>
      </c>
      <c r="J2" s="19">
        <f t="shared" si="0"/>
        <v>226683.33333333334</v>
      </c>
      <c r="K2" s="19">
        <f t="shared" si="0"/>
        <v>226683.33333333334</v>
      </c>
      <c r="L2" s="19">
        <f t="shared" si="0"/>
        <v>226683.33333333334</v>
      </c>
      <c r="M2" s="19">
        <f t="shared" si="0"/>
        <v>226683.33333333334</v>
      </c>
      <c r="N2" s="19">
        <f t="shared" si="0"/>
        <v>226683.33333333334</v>
      </c>
      <c r="O2" s="19">
        <f t="shared" si="0"/>
        <v>226683.33333333334</v>
      </c>
      <c r="P2" s="19">
        <f t="shared" si="0"/>
        <v>226683.33333333334</v>
      </c>
      <c r="Q2" s="19">
        <f t="shared" si="0"/>
        <v>226683.33333333334</v>
      </c>
      <c r="R2" s="20">
        <f>SUM(F2:Q2)</f>
        <v>2720200</v>
      </c>
    </row>
    <row r="3" spans="1:18" ht="15" thickBot="1" x14ac:dyDescent="0.4">
      <c r="A3" s="13" t="s">
        <v>4</v>
      </c>
      <c r="B3" s="14" t="s">
        <v>5</v>
      </c>
      <c r="C3" s="15">
        <v>1300000</v>
      </c>
      <c r="D3" s="16" t="s">
        <v>3</v>
      </c>
      <c r="M3" s="8"/>
      <c r="N3" s="8"/>
      <c r="O3" s="8"/>
      <c r="P3" s="8"/>
      <c r="Q3" s="8"/>
    </row>
    <row r="4" spans="1:18" ht="15" thickBot="1" x14ac:dyDescent="0.4">
      <c r="A4" s="13" t="s">
        <v>4</v>
      </c>
      <c r="B4" s="14" t="s">
        <v>6</v>
      </c>
      <c r="C4" s="15">
        <v>5000</v>
      </c>
      <c r="D4" s="16" t="s">
        <v>7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21"/>
    </row>
    <row r="5" spans="1:18" ht="15" thickBot="1" x14ac:dyDescent="0.4">
      <c r="A5" s="13" t="s">
        <v>4</v>
      </c>
      <c r="B5" s="14" t="s">
        <v>8</v>
      </c>
      <c r="C5" s="15">
        <v>12000</v>
      </c>
      <c r="D5" s="16" t="s">
        <v>7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21"/>
    </row>
    <row r="6" spans="1:18" ht="15" thickBot="1" x14ac:dyDescent="0.4">
      <c r="A6" s="13" t="s">
        <v>4</v>
      </c>
      <c r="B6" s="14" t="s">
        <v>9</v>
      </c>
      <c r="C6" s="15">
        <v>0</v>
      </c>
      <c r="D6" s="16" t="s">
        <v>7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21"/>
    </row>
    <row r="7" spans="1:18" ht="15" thickBot="1" x14ac:dyDescent="0.4">
      <c r="A7" s="13" t="s">
        <v>4</v>
      </c>
      <c r="B7" s="14" t="s">
        <v>10</v>
      </c>
      <c r="C7" s="15">
        <v>10000</v>
      </c>
      <c r="D7" s="16" t="s">
        <v>7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1"/>
    </row>
    <row r="8" spans="1:18" x14ac:dyDescent="0.35">
      <c r="C8" s="2"/>
      <c r="R8" s="22">
        <f>SUM(R2:R7)</f>
        <v>2720200</v>
      </c>
    </row>
    <row r="9" spans="1:18" x14ac:dyDescent="0.35">
      <c r="C9" s="2"/>
    </row>
    <row r="10" spans="1:18" x14ac:dyDescent="0.35">
      <c r="A10" s="3"/>
      <c r="B10" s="3" t="s">
        <v>11</v>
      </c>
      <c r="C10" s="3" t="s">
        <v>12</v>
      </c>
      <c r="D10" s="3" t="s">
        <v>3</v>
      </c>
    </row>
    <row r="11" spans="1:18" ht="15.75" customHeight="1" x14ac:dyDescent="0.35">
      <c r="A11" s="4" t="s">
        <v>7</v>
      </c>
      <c r="B11" s="5">
        <v>52.6</v>
      </c>
      <c r="C11" s="5">
        <f>SUMIFS($C$3:$C$7,$D$3:$D$7,A11)</f>
        <v>27000</v>
      </c>
      <c r="D11" s="6">
        <f>C11*B11</f>
        <v>1420200</v>
      </c>
    </row>
    <row r="12" spans="1:18" x14ac:dyDescent="0.35">
      <c r="A12" s="4" t="s">
        <v>13</v>
      </c>
      <c r="B12" s="5">
        <v>61</v>
      </c>
      <c r="C12" s="5">
        <f t="shared" ref="C12:C13" si="1">SUMIFS($C$3:$C$7,$D$3:$D$7,A12)</f>
        <v>0</v>
      </c>
      <c r="D12" s="6">
        <f t="shared" ref="D12:D13" si="2">C12*B12</f>
        <v>0</v>
      </c>
    </row>
    <row r="13" spans="1:18" x14ac:dyDescent="0.35">
      <c r="A13" s="4" t="s">
        <v>3</v>
      </c>
      <c r="B13" s="5">
        <v>1</v>
      </c>
      <c r="C13" s="5">
        <f t="shared" si="1"/>
        <v>1300000</v>
      </c>
      <c r="D13" s="6">
        <f t="shared" si="2"/>
        <v>1300000</v>
      </c>
    </row>
    <row r="15" spans="1:18" x14ac:dyDescent="0.35">
      <c r="A15" s="7" t="s">
        <v>14</v>
      </c>
      <c r="B15" s="8"/>
      <c r="C15" s="9">
        <f>SUM(C11:C14)</f>
        <v>1327000</v>
      </c>
      <c r="D15" s="10">
        <f>SUM(D11:D14)</f>
        <v>2720200</v>
      </c>
    </row>
    <row r="17" spans="4:4" x14ac:dyDescent="0.35">
      <c r="D17" s="11"/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476F-F302-465E-99BC-4C354DAF28D3}">
  <dimension ref="A1:R17"/>
  <sheetViews>
    <sheetView showGridLines="0" tabSelected="1" topLeftCell="B1" workbookViewId="0">
      <selection activeCell="J14" sqref="J14"/>
    </sheetView>
  </sheetViews>
  <sheetFormatPr defaultRowHeight="14.5" x14ac:dyDescent="0.35"/>
  <cols>
    <col min="1" max="1" width="18.81640625" customWidth="1"/>
    <col min="2" max="2" width="60.81640625" customWidth="1"/>
    <col min="3" max="3" width="16.1796875" bestFit="1" customWidth="1"/>
    <col min="4" max="4" width="16.81640625" bestFit="1" customWidth="1"/>
    <col min="5" max="5" width="2.453125" customWidth="1"/>
    <col min="6" max="6" width="11.54296875" bestFit="1" customWidth="1"/>
    <col min="18" max="18" width="10.1796875" bestFit="1" customWidth="1"/>
  </cols>
  <sheetData>
    <row r="1" spans="1:18" s="1" customFormat="1" ht="15" thickBot="1" x14ac:dyDescent="0.4">
      <c r="A1" s="23" t="s">
        <v>0</v>
      </c>
      <c r="B1" s="24" t="s">
        <v>1</v>
      </c>
      <c r="C1" s="24">
        <v>2025</v>
      </c>
      <c r="D1" s="24"/>
      <c r="F1" s="18">
        <v>46023</v>
      </c>
      <c r="G1" s="18">
        <v>46054</v>
      </c>
      <c r="H1" s="18">
        <v>46082</v>
      </c>
      <c r="I1" s="18">
        <v>46113</v>
      </c>
      <c r="J1" s="18">
        <v>46143</v>
      </c>
      <c r="K1" s="18">
        <v>46174</v>
      </c>
      <c r="L1" s="18">
        <v>46204</v>
      </c>
      <c r="M1" s="18">
        <v>46235</v>
      </c>
      <c r="N1" s="18">
        <v>46266</v>
      </c>
      <c r="O1" s="18">
        <v>46296</v>
      </c>
      <c r="P1" s="18">
        <v>46327</v>
      </c>
      <c r="Q1" s="18">
        <v>46357</v>
      </c>
      <c r="R1" s="17" t="s">
        <v>14</v>
      </c>
    </row>
    <row r="2" spans="1:18" s="1" customFormat="1" ht="15" thickBot="1" x14ac:dyDescent="0.4">
      <c r="A2" s="23"/>
      <c r="B2" s="24"/>
      <c r="C2" s="12" t="s">
        <v>12</v>
      </c>
      <c r="D2" s="12" t="s">
        <v>2</v>
      </c>
      <c r="F2" s="19">
        <f>5480200/12</f>
        <v>456683.33333333331</v>
      </c>
      <c r="G2" s="19">
        <f t="shared" ref="G2:Q2" si="0">5480200/12</f>
        <v>456683.33333333331</v>
      </c>
      <c r="H2" s="19">
        <f t="shared" si="0"/>
        <v>456683.33333333331</v>
      </c>
      <c r="I2" s="19">
        <f t="shared" si="0"/>
        <v>456683.33333333331</v>
      </c>
      <c r="J2" s="19">
        <f t="shared" si="0"/>
        <v>456683.33333333331</v>
      </c>
      <c r="K2" s="19">
        <f t="shared" si="0"/>
        <v>456683.33333333331</v>
      </c>
      <c r="L2" s="19">
        <f t="shared" si="0"/>
        <v>456683.33333333331</v>
      </c>
      <c r="M2" s="19">
        <f t="shared" si="0"/>
        <v>456683.33333333331</v>
      </c>
      <c r="N2" s="19">
        <f t="shared" si="0"/>
        <v>456683.33333333331</v>
      </c>
      <c r="O2" s="19">
        <f t="shared" si="0"/>
        <v>456683.33333333331</v>
      </c>
      <c r="P2" s="19">
        <f t="shared" si="0"/>
        <v>456683.33333333331</v>
      </c>
      <c r="Q2" s="19">
        <f t="shared" si="0"/>
        <v>456683.33333333331</v>
      </c>
      <c r="R2" s="20">
        <f>SUM(F2:Q2)</f>
        <v>5480200</v>
      </c>
    </row>
    <row r="3" spans="1:18" ht="15" thickBot="1" x14ac:dyDescent="0.4">
      <c r="A3" s="13" t="s">
        <v>4</v>
      </c>
      <c r="B3" s="14" t="s">
        <v>5</v>
      </c>
      <c r="C3" s="15">
        <v>1430000</v>
      </c>
      <c r="D3" s="16" t="s">
        <v>3</v>
      </c>
      <c r="M3" s="8"/>
      <c r="N3" s="8"/>
      <c r="O3" s="8"/>
      <c r="P3" s="8"/>
      <c r="Q3" s="8"/>
      <c r="R3" s="20">
        <f t="shared" ref="R3:R7" si="1">SUM(F4:Q4)</f>
        <v>0</v>
      </c>
    </row>
    <row r="4" spans="1:18" ht="15" thickBot="1" x14ac:dyDescent="0.4">
      <c r="A4" s="13" t="s">
        <v>4</v>
      </c>
      <c r="B4" s="14" t="s">
        <v>6</v>
      </c>
      <c r="C4" s="15">
        <v>5000</v>
      </c>
      <c r="D4" s="16" t="s">
        <v>7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20">
        <f t="shared" si="1"/>
        <v>0</v>
      </c>
    </row>
    <row r="5" spans="1:18" ht="15" thickBot="1" x14ac:dyDescent="0.4">
      <c r="A5" s="13" t="s">
        <v>4</v>
      </c>
      <c r="B5" s="14" t="s">
        <v>8</v>
      </c>
      <c r="C5" s="15">
        <v>12000</v>
      </c>
      <c r="D5" s="16" t="s">
        <v>7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20">
        <f t="shared" si="1"/>
        <v>0</v>
      </c>
    </row>
    <row r="6" spans="1:18" ht="15" thickBot="1" x14ac:dyDescent="0.4">
      <c r="A6" s="13" t="s">
        <v>4</v>
      </c>
      <c r="B6" s="14" t="s">
        <v>9</v>
      </c>
      <c r="C6" s="15">
        <v>50000</v>
      </c>
      <c r="D6" s="16" t="s">
        <v>7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20">
        <f t="shared" si="1"/>
        <v>0</v>
      </c>
    </row>
    <row r="7" spans="1:18" ht="15" thickBot="1" x14ac:dyDescent="0.4">
      <c r="A7" s="13" t="s">
        <v>4</v>
      </c>
      <c r="B7" s="14" t="s">
        <v>10</v>
      </c>
      <c r="C7" s="15">
        <v>10000</v>
      </c>
      <c r="D7" s="16" t="s">
        <v>7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0">
        <f t="shared" si="1"/>
        <v>0</v>
      </c>
    </row>
    <row r="8" spans="1:18" x14ac:dyDescent="0.35">
      <c r="C8" s="2"/>
      <c r="R8" s="22">
        <f>SUM(R2:R7)</f>
        <v>5480200</v>
      </c>
    </row>
    <row r="9" spans="1:18" x14ac:dyDescent="0.35">
      <c r="C9" s="2"/>
    </row>
    <row r="10" spans="1:18" x14ac:dyDescent="0.35">
      <c r="A10" s="3"/>
      <c r="B10" s="3" t="s">
        <v>11</v>
      </c>
      <c r="C10" s="3" t="s">
        <v>12</v>
      </c>
      <c r="D10" s="3" t="s">
        <v>3</v>
      </c>
    </row>
    <row r="11" spans="1:18" ht="15.75" customHeight="1" x14ac:dyDescent="0.35">
      <c r="A11" s="4" t="s">
        <v>7</v>
      </c>
      <c r="B11" s="5">
        <v>52.6</v>
      </c>
      <c r="C11" s="5">
        <f>SUMIFS($C$3:$C$7,$D$3:$D$7,A11)</f>
        <v>77000</v>
      </c>
      <c r="D11" s="6">
        <f>C11*B11</f>
        <v>4050200</v>
      </c>
    </row>
    <row r="12" spans="1:18" x14ac:dyDescent="0.35">
      <c r="A12" s="4" t="s">
        <v>13</v>
      </c>
      <c r="B12" s="5">
        <v>61</v>
      </c>
      <c r="C12" s="5">
        <f t="shared" ref="C12:C13" si="2">SUMIFS($C$3:$C$7,$D$3:$D$7,A12)</f>
        <v>0</v>
      </c>
      <c r="D12" s="6">
        <f t="shared" ref="D12:D13" si="3">C12*B12</f>
        <v>0</v>
      </c>
    </row>
    <row r="13" spans="1:18" x14ac:dyDescent="0.35">
      <c r="A13" s="4" t="s">
        <v>3</v>
      </c>
      <c r="B13" s="5">
        <v>1</v>
      </c>
      <c r="C13" s="5">
        <f t="shared" si="2"/>
        <v>1430000</v>
      </c>
      <c r="D13" s="6">
        <f t="shared" si="3"/>
        <v>1430000</v>
      </c>
    </row>
    <row r="15" spans="1:18" x14ac:dyDescent="0.35">
      <c r="A15" s="7" t="s">
        <v>14</v>
      </c>
      <c r="B15" s="8"/>
      <c r="C15" s="9">
        <f>SUM(C11:C14)</f>
        <v>1507000</v>
      </c>
      <c r="D15" s="10">
        <f>SUM(D11:D14)</f>
        <v>5480200</v>
      </c>
    </row>
    <row r="17" spans="4:4" x14ac:dyDescent="0.35">
      <c r="D17" s="11"/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 (7+5)</vt:lpstr>
      <vt:lpstr>2026</vt:lpstr>
    </vt:vector>
  </TitlesOfParts>
  <Company>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Sherif Abdelrazik</dc:creator>
  <cp:lastModifiedBy>Mouhab Mahmoud Sakran</cp:lastModifiedBy>
  <dcterms:created xsi:type="dcterms:W3CDTF">2025-08-18T12:29:55Z</dcterms:created>
  <dcterms:modified xsi:type="dcterms:W3CDTF">2025-08-18T15:14:59Z</dcterms:modified>
</cp:coreProperties>
</file>