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kran\Desktop\Budgeting\"/>
    </mc:Choice>
  </mc:AlternateContent>
  <xr:revisionPtr revIDLastSave="0" documentId="8_{A25D7343-E5E6-44F9-9F4C-B150BAFE3E28}" xr6:coauthVersionLast="47" xr6:coauthVersionMax="47" xr10:uidLastSave="{00000000-0000-0000-0000-000000000000}"/>
  <bookViews>
    <workbookView xWindow="-110" yWindow="-110" windowWidth="19420" windowHeight="10300" xr2:uid="{5D8BE527-F946-4D5A-A692-A45DFCDD2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0" i="1"/>
  <c r="H13" i="1" s="1"/>
  <c r="H9" i="1"/>
  <c r="H8" i="1"/>
  <c r="H27" i="1" l="1"/>
</calcChain>
</file>

<file path=xl/sharedStrings.xml><?xml version="1.0" encoding="utf-8"?>
<sst xmlns="http://schemas.openxmlformats.org/spreadsheetml/2006/main" count="69" uniqueCount="26">
  <si>
    <t>Owner</t>
  </si>
  <si>
    <t>Budget 2024</t>
  </si>
  <si>
    <t>Currency</t>
  </si>
  <si>
    <t>in EGP</t>
  </si>
  <si>
    <t>Budget in EGP</t>
  </si>
  <si>
    <t>Data lake</t>
  </si>
  <si>
    <t>EGP</t>
  </si>
  <si>
    <t>USD</t>
  </si>
  <si>
    <t>Project Title</t>
  </si>
  <si>
    <t>Data Lake</t>
  </si>
  <si>
    <t>Budget 2026</t>
  </si>
  <si>
    <t>Data Lake Infrastructure support</t>
  </si>
  <si>
    <t>Plot Enhancements for Orange Egypt</t>
  </si>
  <si>
    <t>PE Segmentation Loader Service upgrade</t>
  </si>
  <si>
    <t>Data Lake 2026 Resources</t>
  </si>
  <si>
    <t>Asset 2026 CVM Resources</t>
  </si>
  <si>
    <t>Tableau creator license subscription add-on</t>
  </si>
  <si>
    <t>Data Lake Pacific Expansion</t>
  </si>
  <si>
    <t>EUR</t>
  </si>
  <si>
    <t>Synergy Disks Expansion</t>
  </si>
  <si>
    <t>S3 Storage Expansion</t>
  </si>
  <si>
    <t xml:space="preserve">S3 Storage Rack for backup and replica </t>
  </si>
  <si>
    <t>Hard Disks, switches and cables</t>
  </si>
  <si>
    <t>Asset Promo Engine support for 2027</t>
  </si>
  <si>
    <t>Data Lake 2027 Resources</t>
  </si>
  <si>
    <t>AI GPU B300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</si>
</sst>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Helvetica 55 Roman"/>
      <family val="2"/>
    </font>
    <font>
      <b/>
      <sz val="11"/>
      <color rgb="FFFF7F00"/>
      <name val="Aptos Narrow"/>
      <family val="2"/>
      <scheme val="minor"/>
    </font>
    <font>
      <b/>
      <sz val="11"/>
      <name val="Helvetica 55 Roman"/>
      <family val="2"/>
    </font>
    <font>
      <b/>
      <sz val="11"/>
      <name val="Aptos Narrow"/>
      <family val="2"/>
      <scheme val="minor"/>
    </font>
    <font>
      <sz val="10"/>
      <color rgb="FF000000"/>
      <name val="Helvetica 65 Medium"/>
      <family val="2"/>
    </font>
    <font>
      <sz val="11"/>
      <name val="Aptos Narrow"/>
      <family val="2"/>
      <scheme val="minor"/>
    </font>
    <font>
      <sz val="10"/>
      <name val="Helvetica 65 Medium"/>
      <family val="2"/>
    </font>
    <font>
      <sz val="10"/>
      <color theme="0"/>
      <name val="Helvetica 65 Medium"/>
      <family val="2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4" borderId="1" xfId="0" applyFont="1" applyFill="1" applyBorder="1"/>
    <xf numFmtId="0" fontId="8" fillId="5" borderId="1" xfId="0" applyFont="1" applyFill="1" applyBorder="1" applyAlignment="1">
      <alignment vertical="center"/>
    </xf>
    <xf numFmtId="0" fontId="2" fillId="5" borderId="1" xfId="0" applyFont="1" applyFill="1" applyBorder="1"/>
    <xf numFmtId="164" fontId="9" fillId="3" borderId="1" xfId="1" applyNumberFormat="1" applyFont="1" applyFill="1" applyBorder="1"/>
    <xf numFmtId="164" fontId="0" fillId="3" borderId="2" xfId="1" applyNumberFormat="1" applyFont="1" applyFill="1" applyBorder="1"/>
    <xf numFmtId="164" fontId="0" fillId="3" borderId="1" xfId="1" applyNumberFormat="1" applyFont="1" applyFill="1" applyBorder="1"/>
    <xf numFmtId="164" fontId="0" fillId="4" borderId="1" xfId="1" applyNumberFormat="1" applyFont="1" applyFill="1" applyBorder="1"/>
    <xf numFmtId="164" fontId="0" fillId="4" borderId="5" xfId="1" applyNumberFormat="1" applyFont="1" applyFill="1" applyBorder="1" applyAlignment="1"/>
    <xf numFmtId="164" fontId="0" fillId="4" borderId="6" xfId="1" applyNumberFormat="1" applyFont="1" applyFill="1" applyBorder="1" applyAlignment="1"/>
    <xf numFmtId="0" fontId="8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164" fontId="0" fillId="4" borderId="2" xfId="1" applyNumberFormat="1" applyFont="1" applyFill="1" applyBorder="1"/>
    <xf numFmtId="0" fontId="0" fillId="7" borderId="0" xfId="0" applyFill="1"/>
    <xf numFmtId="0" fontId="11" fillId="7" borderId="7" xfId="0" applyFont="1" applyFill="1" applyBorder="1" applyAlignment="1">
      <alignment horizontal="center" vertical="center"/>
    </xf>
    <xf numFmtId="164" fontId="3" fillId="7" borderId="0" xfId="1" applyNumberFormat="1" applyFont="1" applyFill="1"/>
    <xf numFmtId="164" fontId="3" fillId="7" borderId="1" xfId="1" applyNumberFormat="1" applyFont="1" applyFill="1" applyBorder="1"/>
    <xf numFmtId="164" fontId="3" fillId="7" borderId="6" xfId="1" applyNumberFormat="1" applyFont="1" applyFill="1" applyBorder="1"/>
    <xf numFmtId="164" fontId="9" fillId="3" borderId="0" xfId="1" applyNumberFormat="1" applyFont="1" applyFill="1" applyBorder="1"/>
    <xf numFmtId="164" fontId="0" fillId="3" borderId="0" xfId="1" applyNumberFormat="1" applyFont="1" applyFill="1" applyBorder="1"/>
    <xf numFmtId="164" fontId="0" fillId="4" borderId="8" xfId="1" applyNumberFormat="1" applyFont="1" applyFill="1" applyBorder="1"/>
    <xf numFmtId="164" fontId="0" fillId="4" borderId="6" xfId="1" applyNumberFormat="1" applyFont="1" applyFill="1" applyBorder="1"/>
    <xf numFmtId="0" fontId="8" fillId="6" borderId="7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E789-63C2-440F-9CA2-009BA649618F}">
  <dimension ref="A1:H27"/>
  <sheetViews>
    <sheetView tabSelected="1" topLeftCell="A6" zoomScale="86" zoomScaleNormal="60" workbookViewId="0">
      <selection activeCell="B22" sqref="B22"/>
    </sheetView>
  </sheetViews>
  <sheetFormatPr defaultRowHeight="14.5"/>
  <cols>
    <col min="1" max="1" width="12.6328125" bestFit="1" customWidth="1"/>
    <col min="2" max="2" width="117.453125" bestFit="1" customWidth="1"/>
    <col min="3" max="3" width="15.453125" hidden="1" customWidth="1"/>
    <col min="4" max="4" width="10.08984375" hidden="1" customWidth="1"/>
    <col min="5" max="5" width="15.453125" hidden="1" customWidth="1"/>
    <col min="6" max="6" width="15.453125" bestFit="1" customWidth="1"/>
    <col min="7" max="7" width="8.6328125" bestFit="1" customWidth="1"/>
    <col min="8" max="8" width="16.6328125" bestFit="1" customWidth="1"/>
    <col min="9" max="9" width="14.08984375" bestFit="1" customWidth="1"/>
    <col min="10" max="11" width="15.453125" bestFit="1" customWidth="1"/>
    <col min="12" max="18" width="14.08984375" bestFit="1" customWidth="1"/>
    <col min="19" max="19" width="15.453125" bestFit="1" customWidth="1"/>
    <col min="20" max="20" width="14.08984375" bestFit="1" customWidth="1"/>
    <col min="21" max="21" width="16.6328125" bestFit="1" customWidth="1"/>
    <col min="22" max="22" width="16.1796875" bestFit="1" customWidth="1"/>
  </cols>
  <sheetData>
    <row r="1" spans="1:8">
      <c r="A1" s="29" t="s">
        <v>0</v>
      </c>
      <c r="B1" s="29" t="s">
        <v>8</v>
      </c>
      <c r="C1" s="25">
        <v>2024</v>
      </c>
      <c r="D1" s="25"/>
      <c r="E1" s="25"/>
      <c r="F1" s="26">
        <v>2026</v>
      </c>
      <c r="G1" s="27"/>
      <c r="H1" s="28"/>
    </row>
    <row r="2" spans="1:8">
      <c r="A2" s="29"/>
      <c r="B2" s="29"/>
      <c r="C2" s="1" t="s">
        <v>1</v>
      </c>
      <c r="D2" s="1" t="s">
        <v>2</v>
      </c>
      <c r="E2" s="2" t="s">
        <v>3</v>
      </c>
      <c r="F2" s="3" t="s">
        <v>10</v>
      </c>
      <c r="G2" s="3" t="s">
        <v>2</v>
      </c>
      <c r="H2" s="3" t="s">
        <v>4</v>
      </c>
    </row>
    <row r="3" spans="1:8">
      <c r="A3" s="4" t="s">
        <v>5</v>
      </c>
      <c r="B3" s="5" t="s">
        <v>11</v>
      </c>
      <c r="C3" s="6"/>
      <c r="D3" s="7"/>
      <c r="E3" s="8"/>
      <c r="F3" s="9">
        <v>706666.67</v>
      </c>
      <c r="G3" s="9" t="s">
        <v>6</v>
      </c>
      <c r="H3" s="9">
        <v>706666.67</v>
      </c>
    </row>
    <row r="4" spans="1:8">
      <c r="A4" s="4" t="s">
        <v>5</v>
      </c>
      <c r="B4" s="5" t="s">
        <v>12</v>
      </c>
      <c r="C4" s="6">
        <v>160000</v>
      </c>
      <c r="D4" s="7" t="s">
        <v>7</v>
      </c>
      <c r="E4" s="8">
        <v>6368000</v>
      </c>
      <c r="F4" s="10">
        <v>4000000</v>
      </c>
      <c r="G4" s="9" t="s">
        <v>6</v>
      </c>
      <c r="H4" s="10">
        <v>4000000</v>
      </c>
    </row>
    <row r="5" spans="1:8">
      <c r="A5" s="4" t="s">
        <v>5</v>
      </c>
      <c r="B5" s="5" t="s">
        <v>13</v>
      </c>
      <c r="C5" s="6">
        <v>60000</v>
      </c>
      <c r="D5" s="7" t="s">
        <v>7</v>
      </c>
      <c r="E5" s="8">
        <v>2388000</v>
      </c>
      <c r="F5" s="9">
        <v>1995000</v>
      </c>
      <c r="G5" s="9" t="s">
        <v>6</v>
      </c>
      <c r="H5" s="9">
        <v>1995000</v>
      </c>
    </row>
    <row r="6" spans="1:8">
      <c r="A6" s="4" t="s">
        <v>5</v>
      </c>
      <c r="B6" s="5" t="s">
        <v>14</v>
      </c>
      <c r="C6" s="6">
        <v>7000</v>
      </c>
      <c r="D6" s="7" t="s">
        <v>7</v>
      </c>
      <c r="E6" s="8">
        <v>278600</v>
      </c>
      <c r="F6" s="11">
        <v>12834213.720000001</v>
      </c>
      <c r="G6" s="9" t="s">
        <v>6</v>
      </c>
      <c r="H6" s="11">
        <v>12834213.720000001</v>
      </c>
    </row>
    <row r="7" spans="1:8">
      <c r="A7" s="4" t="s">
        <v>5</v>
      </c>
      <c r="B7" s="5" t="s">
        <v>15</v>
      </c>
      <c r="C7" s="6">
        <v>45479</v>
      </c>
      <c r="D7" s="7" t="s">
        <v>6</v>
      </c>
      <c r="E7" s="8">
        <v>45479</v>
      </c>
      <c r="F7" s="9">
        <v>1360000</v>
      </c>
      <c r="G7" s="9" t="s">
        <v>6</v>
      </c>
      <c r="H7" s="9">
        <v>1360000</v>
      </c>
    </row>
    <row r="8" spans="1:8">
      <c r="A8" s="12" t="s">
        <v>5</v>
      </c>
      <c r="B8" s="13" t="s">
        <v>16</v>
      </c>
      <c r="C8" s="6">
        <v>125000</v>
      </c>
      <c r="D8" s="7" t="s">
        <v>7</v>
      </c>
      <c r="E8" s="8">
        <v>4975000</v>
      </c>
      <c r="F8" s="14">
        <v>1575</v>
      </c>
      <c r="G8" s="9" t="s">
        <v>7</v>
      </c>
      <c r="H8" s="14">
        <f>1575*52.2</f>
        <v>82215</v>
      </c>
    </row>
    <row r="9" spans="1:8">
      <c r="A9" s="12" t="s">
        <v>5</v>
      </c>
      <c r="B9" s="12" t="s">
        <v>17</v>
      </c>
      <c r="C9" s="20"/>
      <c r="D9" s="21"/>
      <c r="E9" s="8"/>
      <c r="F9" s="22">
        <v>1045451</v>
      </c>
      <c r="G9" s="23" t="s">
        <v>18</v>
      </c>
      <c r="H9" s="22">
        <f>1045451*60.5</f>
        <v>63249785.5</v>
      </c>
    </row>
    <row r="10" spans="1:8">
      <c r="A10" s="12" t="s">
        <v>5</v>
      </c>
      <c r="B10" s="12" t="s">
        <v>19</v>
      </c>
      <c r="C10" s="20"/>
      <c r="D10" s="21"/>
      <c r="E10" s="8"/>
      <c r="F10" s="22">
        <v>1045451</v>
      </c>
      <c r="G10" s="23" t="s">
        <v>18</v>
      </c>
      <c r="H10" s="22">
        <f>1045451*60.5</f>
        <v>63249785.5</v>
      </c>
    </row>
    <row r="11" spans="1:8">
      <c r="A11" s="12" t="s">
        <v>5</v>
      </c>
      <c r="B11" s="12" t="s">
        <v>14</v>
      </c>
      <c r="C11" s="20"/>
      <c r="D11" s="21"/>
      <c r="E11" s="8"/>
      <c r="F11" s="22">
        <v>13800000</v>
      </c>
      <c r="G11" s="23" t="s">
        <v>6</v>
      </c>
      <c r="H11" s="22">
        <v>13800000</v>
      </c>
    </row>
    <row r="12" spans="1:8">
      <c r="A12" s="12"/>
      <c r="B12" s="24"/>
      <c r="C12" s="20"/>
      <c r="D12" s="21"/>
      <c r="E12" s="8"/>
      <c r="F12" s="22"/>
      <c r="G12" s="23"/>
      <c r="H12" s="22"/>
    </row>
    <row r="13" spans="1:8">
      <c r="A13" s="15"/>
      <c r="B13" s="16"/>
      <c r="C13" s="17"/>
      <c r="D13" s="17"/>
      <c r="E13" s="18">
        <v>14055079</v>
      </c>
      <c r="F13" s="19"/>
      <c r="G13" s="19"/>
      <c r="H13" s="19">
        <f>SUM(H3:H11)+(H12*49.14)</f>
        <v>161277666.38999999</v>
      </c>
    </row>
    <row r="15" spans="1:8">
      <c r="A15" s="29" t="s">
        <v>0</v>
      </c>
      <c r="B15" s="29" t="s">
        <v>8</v>
      </c>
      <c r="C15" s="25">
        <v>2024</v>
      </c>
      <c r="D15" s="25"/>
      <c r="E15" s="25"/>
      <c r="F15" s="26">
        <v>2027</v>
      </c>
      <c r="G15" s="27"/>
      <c r="H15" s="28"/>
    </row>
    <row r="16" spans="1:8">
      <c r="A16" s="29"/>
      <c r="B16" s="29"/>
      <c r="C16" s="1" t="s">
        <v>1</v>
      </c>
      <c r="D16" s="1" t="s">
        <v>2</v>
      </c>
      <c r="E16" s="2" t="s">
        <v>3</v>
      </c>
      <c r="F16" s="3" t="s">
        <v>10</v>
      </c>
      <c r="G16" s="3" t="s">
        <v>2</v>
      </c>
      <c r="H16" s="3" t="s">
        <v>4</v>
      </c>
    </row>
    <row r="17" spans="1:8">
      <c r="A17" s="4" t="s">
        <v>9</v>
      </c>
      <c r="B17" s="5" t="s">
        <v>20</v>
      </c>
      <c r="C17" s="6"/>
      <c r="D17" s="7"/>
      <c r="E17" s="8"/>
      <c r="F17" s="9">
        <v>550000</v>
      </c>
      <c r="G17" s="9" t="s">
        <v>7</v>
      </c>
      <c r="H17" s="9">
        <f>550000*56.9</f>
        <v>31295000</v>
      </c>
    </row>
    <row r="18" spans="1:8">
      <c r="A18" s="4" t="s">
        <v>9</v>
      </c>
      <c r="B18" s="5" t="s">
        <v>21</v>
      </c>
      <c r="C18" s="6">
        <v>160000</v>
      </c>
      <c r="D18" s="7" t="s">
        <v>7</v>
      </c>
      <c r="E18" s="8">
        <v>6368000</v>
      </c>
      <c r="F18" s="10">
        <v>3300000</v>
      </c>
      <c r="G18" s="9" t="s">
        <v>7</v>
      </c>
      <c r="H18" s="10">
        <f>3300000*56.9</f>
        <v>187770000</v>
      </c>
    </row>
    <row r="19" spans="1:8">
      <c r="A19" s="4" t="s">
        <v>9</v>
      </c>
      <c r="B19" s="5" t="s">
        <v>22</v>
      </c>
      <c r="C19" s="6">
        <v>60000</v>
      </c>
      <c r="D19" s="7" t="s">
        <v>7</v>
      </c>
      <c r="E19" s="8">
        <v>2388000</v>
      </c>
      <c r="F19" s="9">
        <v>500000</v>
      </c>
      <c r="G19" s="9" t="s">
        <v>7</v>
      </c>
      <c r="H19" s="9">
        <f>500000*56.9</f>
        <v>28450000</v>
      </c>
    </row>
    <row r="20" spans="1:8">
      <c r="A20" s="12" t="s">
        <v>9</v>
      </c>
      <c r="B20" s="13" t="s">
        <v>23</v>
      </c>
      <c r="C20" s="6">
        <v>125000</v>
      </c>
      <c r="D20" s="7" t="s">
        <v>7</v>
      </c>
      <c r="E20" s="8">
        <v>4975000</v>
      </c>
      <c r="F20" s="14">
        <v>10000000</v>
      </c>
      <c r="G20" s="9" t="s">
        <v>6</v>
      </c>
      <c r="H20" s="9">
        <v>10000000</v>
      </c>
    </row>
    <row r="21" spans="1:8">
      <c r="A21" s="12" t="s">
        <v>9</v>
      </c>
      <c r="B21" s="12" t="s">
        <v>24</v>
      </c>
      <c r="C21" s="20"/>
      <c r="D21" s="21"/>
      <c r="E21" s="8"/>
      <c r="F21" s="22">
        <v>24000000</v>
      </c>
      <c r="G21" s="23" t="s">
        <v>6</v>
      </c>
      <c r="H21" s="23">
        <v>24000000</v>
      </c>
    </row>
    <row r="22" spans="1:8">
      <c r="A22" s="12" t="s">
        <v>9</v>
      </c>
      <c r="B22" s="12" t="s">
        <v>25</v>
      </c>
      <c r="C22" s="20"/>
      <c r="D22" s="21"/>
      <c r="E22" s="8"/>
      <c r="F22" s="22">
        <v>3000000</v>
      </c>
      <c r="G22" s="23" t="s">
        <v>7</v>
      </c>
      <c r="H22" s="23">
        <f>3000000*56.9</f>
        <v>170700000</v>
      </c>
    </row>
    <row r="23" spans="1:8">
      <c r="A23" s="12"/>
      <c r="B23" s="12"/>
      <c r="C23" s="20"/>
      <c r="D23" s="21"/>
      <c r="E23" s="8"/>
      <c r="F23" s="22"/>
      <c r="G23" s="23"/>
      <c r="H23" s="22"/>
    </row>
    <row r="24" spans="1:8">
      <c r="A24" s="12"/>
      <c r="B24" s="24"/>
      <c r="C24" s="20"/>
      <c r="D24" s="21"/>
      <c r="E24" s="8"/>
      <c r="F24" s="22"/>
      <c r="G24" s="23"/>
      <c r="H24" s="23"/>
    </row>
    <row r="25" spans="1:8">
      <c r="A25" s="12"/>
      <c r="B25" s="24"/>
      <c r="C25" s="20"/>
      <c r="D25" s="21"/>
      <c r="E25" s="8"/>
      <c r="F25" s="22"/>
      <c r="G25" s="23"/>
      <c r="H25" s="23"/>
    </row>
    <row r="26" spans="1:8">
      <c r="A26" s="12"/>
      <c r="B26" s="24"/>
      <c r="C26" s="20"/>
      <c r="D26" s="21"/>
      <c r="E26" s="8"/>
      <c r="F26" s="22"/>
      <c r="G26" s="23"/>
      <c r="H26" s="23"/>
    </row>
    <row r="27" spans="1:8">
      <c r="A27" s="15"/>
      <c r="B27" s="16"/>
      <c r="C27" s="17"/>
      <c r="D27" s="17"/>
      <c r="E27" s="18">
        <v>14055079</v>
      </c>
      <c r="F27" s="19"/>
      <c r="G27" s="19"/>
      <c r="H27" s="19">
        <f>SUM(H17:H26)</f>
        <v>452215000</v>
      </c>
    </row>
  </sheetData>
  <mergeCells count="8">
    <mergeCell ref="C15:E15"/>
    <mergeCell ref="F15:H15"/>
    <mergeCell ref="A1:A2"/>
    <mergeCell ref="B1:B2"/>
    <mergeCell ref="C1:E1"/>
    <mergeCell ref="F1:H1"/>
    <mergeCell ref="A15:A16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Mouhab Mahmoud Sakran</dc:creator>
  <cp:lastModifiedBy>Mouhab Mahmoud Sakran</cp:lastModifiedBy>
  <dcterms:created xsi:type="dcterms:W3CDTF">2025-08-26T08:22:53Z</dcterms:created>
  <dcterms:modified xsi:type="dcterms:W3CDTF">2026-09-21T11:09:25Z</dcterms:modified>
</cp:coreProperties>
</file>