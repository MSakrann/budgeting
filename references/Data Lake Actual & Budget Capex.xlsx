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sakran\Desktop\Budgeting\2026 Budget\"/>
    </mc:Choice>
  </mc:AlternateContent>
  <xr:revisionPtr revIDLastSave="0" documentId="13_ncr:1_{5FF540B8-8B0D-4029-9C72-ED00962D4CAC}" xr6:coauthVersionLast="47" xr6:coauthVersionMax="47" xr10:uidLastSave="{00000000-0000-0000-0000-000000000000}"/>
  <bookViews>
    <workbookView minimized="1" xWindow="2040" yWindow="2040" windowWidth="2370" windowHeight="560" xr2:uid="{00000000-000D-0000-FFFF-FFFF00000000}"/>
  </bookViews>
  <sheets>
    <sheet name="Capex" sheetId="1" r:id="rId1"/>
    <sheet name="Actual Y25" sheetId="3" r:id="rId2"/>
    <sheet name="Budget Y25" sheetId="4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9" i="4" l="1"/>
  <c r="S19" i="4"/>
  <c r="R19" i="4"/>
  <c r="Q19" i="4"/>
  <c r="P19" i="4"/>
  <c r="O19" i="4"/>
  <c r="N19" i="4"/>
  <c r="M19" i="4"/>
  <c r="L19" i="4"/>
  <c r="K19" i="4"/>
  <c r="J19" i="4"/>
  <c r="T18" i="4"/>
  <c r="S18" i="4"/>
  <c r="R18" i="4"/>
  <c r="Q18" i="4"/>
  <c r="P18" i="4"/>
  <c r="P20" i="4" s="1"/>
  <c r="O18" i="4"/>
  <c r="N18" i="4"/>
  <c r="M18" i="4"/>
  <c r="L18" i="4"/>
  <c r="K18" i="4"/>
  <c r="J18" i="4"/>
  <c r="T17" i="4"/>
  <c r="S17" i="4"/>
  <c r="R17" i="4"/>
  <c r="Q17" i="4"/>
  <c r="P17" i="4"/>
  <c r="O17" i="4"/>
  <c r="N17" i="4"/>
  <c r="M17" i="4"/>
  <c r="L17" i="4"/>
  <c r="K17" i="4"/>
  <c r="J17" i="4"/>
  <c r="T16" i="4"/>
  <c r="S16" i="4"/>
  <c r="R16" i="4"/>
  <c r="Q16" i="4"/>
  <c r="P16" i="4"/>
  <c r="O16" i="4"/>
  <c r="N16" i="4"/>
  <c r="M16" i="4"/>
  <c r="L16" i="4"/>
  <c r="K16" i="4"/>
  <c r="J16" i="4"/>
  <c r="T15" i="4"/>
  <c r="S15" i="4"/>
  <c r="S20" i="4" s="1"/>
  <c r="R15" i="4"/>
  <c r="R20" i="4" s="1"/>
  <c r="Q15" i="4"/>
  <c r="Q20" i="4" s="1"/>
  <c r="P15" i="4"/>
  <c r="O15" i="4"/>
  <c r="N15" i="4"/>
  <c r="M15" i="4"/>
  <c r="L15" i="4"/>
  <c r="K15" i="4"/>
  <c r="K20" i="4" s="1"/>
  <c r="J15" i="4"/>
  <c r="U15" i="4" s="1"/>
  <c r="T14" i="4"/>
  <c r="T20" i="4" s="1"/>
  <c r="S14" i="4"/>
  <c r="R14" i="4"/>
  <c r="Q14" i="4"/>
  <c r="P14" i="4"/>
  <c r="O14" i="4"/>
  <c r="N14" i="4"/>
  <c r="N20" i="4" s="1"/>
  <c r="M14" i="4"/>
  <c r="M20" i="4" s="1"/>
  <c r="L14" i="4"/>
  <c r="U14" i="4" s="1"/>
  <c r="K14" i="4"/>
  <c r="J14" i="4"/>
  <c r="I15" i="4"/>
  <c r="I16" i="4"/>
  <c r="I17" i="4"/>
  <c r="I18" i="4"/>
  <c r="I19" i="4"/>
  <c r="I14" i="4"/>
  <c r="O20" i="4"/>
  <c r="H18" i="4"/>
  <c r="H19" i="4"/>
  <c r="H15" i="4"/>
  <c r="H16" i="4"/>
  <c r="H17" i="4"/>
  <c r="H14" i="4"/>
  <c r="U19" i="4" l="1"/>
  <c r="U18" i="4"/>
  <c r="J20" i="4"/>
  <c r="U17" i="4"/>
  <c r="U16" i="4"/>
  <c r="U20" i="4" s="1"/>
  <c r="L20" i="4"/>
  <c r="I20" i="4"/>
  <c r="F3" i="1" l="1"/>
  <c r="E3" i="1"/>
  <c r="K3" i="1"/>
  <c r="L3" i="1"/>
  <c r="J3" i="1"/>
  <c r="M3" i="1"/>
  <c r="N3" i="1" l="1"/>
  <c r="N2" i="1"/>
</calcChain>
</file>

<file path=xl/sharedStrings.xml><?xml version="1.0" encoding="utf-8"?>
<sst xmlns="http://schemas.openxmlformats.org/spreadsheetml/2006/main" count="247" uniqueCount="74">
  <si>
    <t>Owner</t>
  </si>
  <si>
    <t>Budget line</t>
  </si>
  <si>
    <t>Currency</t>
  </si>
  <si>
    <t>EGP</t>
  </si>
  <si>
    <t>USD</t>
  </si>
  <si>
    <t>Data lake</t>
  </si>
  <si>
    <t>PE development (Orange Labs)</t>
  </si>
  <si>
    <t>Total</t>
  </si>
  <si>
    <t>Digital</t>
  </si>
  <si>
    <t>Budget in EGP</t>
  </si>
  <si>
    <t>DLH Implementation services</t>
  </si>
  <si>
    <t>DLH H/W</t>
  </si>
  <si>
    <t>CVM and 360 development</t>
  </si>
  <si>
    <t>DLH RFP/Support = 300,000 USD</t>
  </si>
  <si>
    <t>Analysis and reporting</t>
  </si>
  <si>
    <t>in EGP</t>
  </si>
  <si>
    <t>Budget 2024</t>
  </si>
  <si>
    <t>Budget 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</si>
  <si>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</si>
  <si>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</si>
  <si>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</si>
  <si>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</si>
  <si>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</si>
  <si>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</si>
  <si>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</si>
  <si>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</si>
  <si>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</si>
  <si>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</si>
  <si>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</si>
  <si>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</si>
  <si>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Budget After cut</t>
  </si>
  <si>
    <t>Data Lake</t>
  </si>
  <si>
    <t>PO #</t>
  </si>
  <si>
    <t>Amount in EGP Including Customs</t>
  </si>
  <si>
    <t>Project</t>
  </si>
  <si>
    <t>Orange Codes</t>
  </si>
  <si>
    <t>Month</t>
  </si>
  <si>
    <t>Full Code</t>
  </si>
  <si>
    <t>Sub Account</t>
  </si>
  <si>
    <t>Full Project</t>
  </si>
  <si>
    <t>Department</t>
  </si>
  <si>
    <t>Type</t>
  </si>
  <si>
    <t>Sub Division</t>
  </si>
  <si>
    <t>Original Currency</t>
  </si>
  <si>
    <t>Month Rate</t>
  </si>
  <si>
    <t>Original Amount</t>
  </si>
  <si>
    <t>Division</t>
  </si>
  <si>
    <t>**</t>
  </si>
  <si>
    <t xml:space="preserve">Description </t>
  </si>
  <si>
    <t>DG1</t>
  </si>
  <si>
    <t xml:space="preserve">Jan </t>
  </si>
  <si>
    <t>1.345.121212.TRD.DG1</t>
  </si>
  <si>
    <t>TRD</t>
  </si>
  <si>
    <t>DG1 - TRD</t>
  </si>
  <si>
    <t>Addition</t>
  </si>
  <si>
    <t>DATALAKE RETIRING _ AGGREGATE LAYER - 2024</t>
  </si>
  <si>
    <t>EUR</t>
  </si>
  <si>
    <t>DATA LAKE HW - STORAGE AND SWITCHS - 2024</t>
  </si>
  <si>
    <t>DATA HW - 2025</t>
  </si>
  <si>
    <t>DATALAKE RETIRING _ TOOLING IMPLEMENTATION (6 MONTHS) - 2024 (AMEND)</t>
  </si>
  <si>
    <t>DATA LAKE HW SERVERS - 2024</t>
  </si>
  <si>
    <t>Budget Y25</t>
  </si>
  <si>
    <t>FCST 7+5</t>
  </si>
  <si>
    <t>Budget Y26</t>
  </si>
  <si>
    <t>Sum of Amount in EGP Including Customs</t>
  </si>
  <si>
    <t>Column Labels</t>
  </si>
  <si>
    <t>Grand Total</t>
  </si>
  <si>
    <t>Row Labels</t>
  </si>
  <si>
    <t>July</t>
  </si>
  <si>
    <t>DAILY TRENDS DASHBOARD-2025</t>
  </si>
  <si>
    <t>PE - VOUCHER ENHANCEMENTS SERVICES - 2024</t>
  </si>
  <si>
    <t>PROMO ENGINE SUPPORT FROM 01-JAN-25 TO 31-DEC-25</t>
  </si>
  <si>
    <t>MIGRATING ALL PIPELINES TO DL, ENGINEERING IMPLEMENTATION AND OPERATION 2023</t>
  </si>
  <si>
    <t>PE SERVICES FOR GVM AND UPSELLING LAYER-2025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</si>
</sst>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_);_(@_)"/>
    <numFmt numFmtId="166" formatCode="[$EGP]\ #,##0"/>
    <numFmt numFmtId="167" formatCode="[$EGP]\ #,##0.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Helvetica 55 Roman"/>
      <family val="2"/>
    </font>
    <font>
      <sz val="11"/>
      <name val="Calibri"/>
      <family val="2"/>
      <scheme val="minor"/>
    </font>
    <font>
      <sz val="10"/>
      <color rgb="FF000000"/>
      <name val="Helvetica 65 Medium"/>
      <family val="2"/>
    </font>
    <font>
      <sz val="10"/>
      <name val="Helvetica 65 Medium"/>
      <family val="2"/>
    </font>
    <font>
      <b/>
      <sz val="11"/>
      <name val="Helvetica 55 Roman"/>
      <family val="2"/>
    </font>
    <font>
      <b/>
      <sz val="11"/>
      <name val="Calibri"/>
      <family val="2"/>
      <scheme val="minor"/>
    </font>
    <font>
      <b/>
      <sz val="11"/>
      <color rgb="FFFF7F00"/>
      <name val="Calibri"/>
      <family val="2"/>
      <scheme val="minor"/>
    </font>
    <font>
      <sz val="10"/>
      <color theme="0"/>
      <name val="Helvetica 65 Medium"/>
      <family val="2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7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2">
    <xf numFmtId="0" fontId="0" fillId="0" borderId="0" xfId="0"/>
    <xf numFmtId="0" fontId="0" fillId="5" borderId="0" xfId="0" applyFill="1"/>
    <xf numFmtId="0" fontId="6" fillId="3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8" fillId="6" borderId="1" xfId="0" applyFont="1" applyFill="1" applyBorder="1" applyAlignment="1">
      <alignment horizontal="center" vertical="center"/>
    </xf>
    <xf numFmtId="0" fontId="9" fillId="6" borderId="1" xfId="0" applyFont="1" applyFill="1" applyBorder="1"/>
    <xf numFmtId="164" fontId="0" fillId="6" borderId="1" xfId="1" applyNumberFormat="1" applyFont="1" applyFill="1" applyBorder="1"/>
    <xf numFmtId="0" fontId="9" fillId="8" borderId="1" xfId="0" applyFont="1" applyFill="1" applyBorder="1"/>
    <xf numFmtId="164" fontId="0" fillId="8" borderId="1" xfId="1" applyNumberFormat="1" applyFont="1" applyFill="1" applyBorder="1"/>
    <xf numFmtId="0" fontId="11" fillId="5" borderId="5" xfId="0" applyFont="1" applyFill="1" applyBorder="1" applyAlignment="1">
      <alignment horizontal="center" vertical="center"/>
    </xf>
    <xf numFmtId="164" fontId="0" fillId="8" borderId="7" xfId="1" applyNumberFormat="1" applyFont="1" applyFill="1" applyBorder="1" applyAlignment="1"/>
    <xf numFmtId="164" fontId="0" fillId="8" borderId="6" xfId="1" applyNumberFormat="1" applyFont="1" applyFill="1" applyBorder="1" applyAlignment="1"/>
    <xf numFmtId="0" fontId="6" fillId="4" borderId="1" xfId="0" applyFont="1" applyFill="1" applyBorder="1" applyAlignment="1">
      <alignment vertical="center"/>
    </xf>
    <xf numFmtId="0" fontId="2" fillId="4" borderId="1" xfId="0" applyFont="1" applyFill="1" applyBorder="1"/>
    <xf numFmtId="164" fontId="0" fillId="0" borderId="0" xfId="1" applyNumberFormat="1" applyFont="1"/>
    <xf numFmtId="164" fontId="0" fillId="0" borderId="0" xfId="0" applyNumberFormat="1"/>
    <xf numFmtId="164" fontId="3" fillId="5" borderId="1" xfId="1" applyNumberFormat="1" applyFont="1" applyFill="1" applyBorder="1"/>
    <xf numFmtId="165" fontId="0" fillId="0" borderId="0" xfId="0" applyNumberFormat="1"/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164" fontId="3" fillId="5" borderId="0" xfId="1" applyNumberFormat="1" applyFont="1" applyFill="1"/>
    <xf numFmtId="43" fontId="9" fillId="7" borderId="7" xfId="1" applyFont="1" applyFill="1" applyBorder="1"/>
    <xf numFmtId="0" fontId="9" fillId="7" borderId="7" xfId="0" applyFont="1" applyFill="1" applyBorder="1"/>
    <xf numFmtId="164" fontId="9" fillId="7" borderId="7" xfId="1" applyNumberFormat="1" applyFont="1" applyFill="1" applyBorder="1"/>
    <xf numFmtId="164" fontId="0" fillId="0" borderId="0" xfId="1" applyNumberFormat="1" applyFont="1" applyBorder="1"/>
    <xf numFmtId="164" fontId="0" fillId="0" borderId="14" xfId="1" applyNumberFormat="1" applyFont="1" applyBorder="1"/>
    <xf numFmtId="164" fontId="0" fillId="0" borderId="15" xfId="1" applyNumberFormat="1" applyFont="1" applyBorder="1"/>
    <xf numFmtId="0" fontId="0" fillId="0" borderId="7" xfId="0" applyBorder="1"/>
    <xf numFmtId="0" fontId="0" fillId="0" borderId="8" xfId="0" applyBorder="1"/>
    <xf numFmtId="0" fontId="0" fillId="0" borderId="6" xfId="0" applyBorder="1"/>
    <xf numFmtId="0" fontId="13" fillId="10" borderId="12" xfId="0" applyFont="1" applyFill="1" applyBorder="1" applyAlignment="1">
      <alignment horizontal="center" vertical="center"/>
    </xf>
    <xf numFmtId="3" fontId="13" fillId="10" borderId="10" xfId="0" applyNumberFormat="1" applyFont="1" applyFill="1" applyBorder="1" applyAlignment="1">
      <alignment horizontal="center" vertical="center"/>
    </xf>
    <xf numFmtId="166" fontId="13" fillId="10" borderId="16" xfId="0" applyNumberFormat="1" applyFont="1" applyFill="1" applyBorder="1" applyAlignment="1">
      <alignment horizontal="center" vertical="center"/>
    </xf>
    <xf numFmtId="166" fontId="13" fillId="10" borderId="10" xfId="0" applyNumberFormat="1" applyFont="1" applyFill="1" applyBorder="1" applyAlignment="1">
      <alignment horizontal="center" vertical="center"/>
    </xf>
    <xf numFmtId="4" fontId="13" fillId="10" borderId="10" xfId="0" applyNumberFormat="1" applyFont="1" applyFill="1" applyBorder="1" applyAlignment="1">
      <alignment horizontal="center" vertical="center"/>
    </xf>
    <xf numFmtId="167" fontId="13" fillId="10" borderId="1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3" fontId="0" fillId="0" borderId="11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9" borderId="11" xfId="0" applyFill="1" applyBorder="1" applyAlignment="1">
      <alignment horizontal="center"/>
    </xf>
    <xf numFmtId="40" fontId="0" fillId="0" borderId="11" xfId="0" applyNumberFormat="1" applyBorder="1" applyAlignment="1">
      <alignment horizontal="center"/>
    </xf>
    <xf numFmtId="43" fontId="9" fillId="7" borderId="15" xfId="1" applyFont="1" applyFill="1" applyBorder="1"/>
    <xf numFmtId="164" fontId="0" fillId="0" borderId="8" xfId="1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164" fontId="0" fillId="0" borderId="8" xfId="0" applyNumberFormat="1" applyBorder="1"/>
    <xf numFmtId="165" fontId="3" fillId="5" borderId="9" xfId="0" applyNumberFormat="1" applyFont="1" applyFill="1" applyBorder="1" applyAlignment="1">
      <alignment horizontal="center"/>
    </xf>
    <xf numFmtId="164" fontId="0" fillId="6" borderId="2" xfId="1" applyNumberFormat="1" applyFont="1" applyFill="1" applyBorder="1"/>
    <xf numFmtId="164" fontId="5" fillId="6" borderId="1" xfId="1" applyNumberFormat="1" applyFont="1" applyFill="1" applyBorder="1"/>
    <xf numFmtId="164" fontId="0" fillId="8" borderId="2" xfId="1" applyNumberFormat="1" applyFont="1" applyFill="1" applyBorder="1"/>
    <xf numFmtId="164" fontId="3" fillId="5" borderId="6" xfId="1" applyNumberFormat="1" applyFont="1" applyFill="1" applyBorder="1"/>
    <xf numFmtId="43" fontId="0" fillId="0" borderId="5" xfId="0" applyNumberFormat="1" applyBorder="1"/>
    <xf numFmtId="0" fontId="9" fillId="8" borderId="1" xfId="0" applyFont="1" applyFill="1" applyBorder="1" applyAlignment="1">
      <alignment horizontal="center"/>
    </xf>
    <xf numFmtId="43" fontId="9" fillId="7" borderId="8" xfId="1" applyFont="1" applyFill="1" applyBorder="1" applyAlignment="1">
      <alignment horizontal="center"/>
    </xf>
    <xf numFmtId="0" fontId="9" fillId="7" borderId="8" xfId="0" applyFont="1" applyFill="1" applyBorder="1" applyAlignment="1">
      <alignment horizontal="center"/>
    </xf>
    <xf numFmtId="164" fontId="9" fillId="7" borderId="8" xfId="1" applyNumberFormat="1" applyFont="1" applyFill="1" applyBorder="1" applyAlignment="1">
      <alignment horizontal="center"/>
    </xf>
    <xf numFmtId="164" fontId="0" fillId="0" borderId="0" xfId="1" applyNumberFormat="1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/>
    </xf>
    <xf numFmtId="0" fontId="10" fillId="8" borderId="2" xfId="0" applyFont="1" applyFill="1" applyBorder="1" applyAlignment="1">
      <alignment horizontal="center"/>
    </xf>
    <xf numFmtId="0" fontId="10" fillId="8" borderId="3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3">
    <dxf>
      <numFmt numFmtId="164" formatCode="_(* #,##0_);_(* \(#,##0\);_(* &quot;-&quot;??_);_(@_)"/>
    </dxf>
    <dxf>
      <numFmt numFmtId="168" formatCode="_(* #,##0.0_);_(* \(#,##0.0\);_(* &quot;-&quot;??_);_(@_)"/>
    </dxf>
    <dxf>
      <numFmt numFmtId="35" formatCode="_(* #,##0.00_);_(* \(#,##0.00\);_(* &quot;-&quot;??_);_(@_)"/>
    </dxf>
  </dxfs>
  <tableStyles count="0" defaultTableStyle="TableStyleMedium2" defaultPivotStyle="PivotStyleLight16"/>
  <colors>
    <mruColors>
      <color rgb="FFFF7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 Ayman Marei" refreshedDate="45887.536857060186" createdVersion="6" refreshedVersion="6" minRefreshableVersion="3" recordCount="14" xr:uid="{00000000-000A-0000-FFFF-FFFF11000000}">
  <cacheSource type="worksheet">
    <worksheetSource ref="A1:R15" sheet="Actual Y25"/>
  </cacheSource>
  <cacheFields count="18">
    <cacheField name="PO #" numFmtId="0">
      <sharedItems containsSemiMixedTypes="0" containsString="0" containsNumber="1" containsInteger="1" minValue="60080" maxValue="63600"/>
    </cacheField>
    <cacheField name="Amount in EGP Including Customs" numFmtId="0">
      <sharedItems containsSemiMixedTypes="0" containsString="0" containsNumber="1" minValue="43191.72" maxValue="30669268.919999998"/>
    </cacheField>
    <cacheField name="Project" numFmtId="0">
      <sharedItems count="1">
        <s v="DG1"/>
      </sharedItems>
    </cacheField>
    <cacheField name="Orange Codes" numFmtId="0">
      <sharedItems containsSemiMixedTypes="0" containsString="0" containsNumber="1" containsInteger="1" minValue="4700" maxValue="4700"/>
    </cacheField>
    <cacheField name="Month" numFmtId="0">
      <sharedItems count="5">
        <s v="Jan "/>
        <s v="Mar"/>
        <s v="Apr"/>
        <s v="May"/>
        <s v="July"/>
      </sharedItems>
    </cacheField>
    <cacheField name="Full Code" numFmtId="0">
      <sharedItems/>
    </cacheField>
    <cacheField name="Project2" numFmtId="0">
      <sharedItems containsBlank="1"/>
    </cacheField>
    <cacheField name="Sub Account" numFmtId="0">
      <sharedItems containsBlank="1"/>
    </cacheField>
    <cacheField name="Full Project" numFmtId="0">
      <sharedItems containsBlank="1"/>
    </cacheField>
    <cacheField name="Department" numFmtId="0">
      <sharedItems containsBlank="1"/>
    </cacheField>
    <cacheField name="Type" numFmtId="0">
      <sharedItems containsBlank="1"/>
    </cacheField>
    <cacheField name="Sub Division" numFmtId="0">
      <sharedItems containsBlank="1"/>
    </cacheField>
    <cacheField name="Original Currency" numFmtId="0">
      <sharedItems containsBlank="1"/>
    </cacheField>
    <cacheField name="Month Rate" numFmtId="0">
      <sharedItems containsString="0" containsBlank="1" containsNumber="1" minValue="1" maxValue="53.14"/>
    </cacheField>
    <cacheField name="Original Amount" numFmtId="3">
      <sharedItems containsString="0" containsBlank="1" containsNumber="1" minValue="43191.72" maxValue="2150004.2999999998"/>
    </cacheField>
    <cacheField name="Division" numFmtId="0">
      <sharedItems containsBlank="1"/>
    </cacheField>
    <cacheField name="**" numFmtId="0">
      <sharedItems containsBlank="1"/>
    </cacheField>
    <cacheField name="Description 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">
  <r>
    <n v="61110"/>
    <n v="143989.56"/>
    <x v="0"/>
    <n v="4700"/>
    <x v="0"/>
    <s v="1.345.121212.TRD.DG1"/>
    <s v="DG1"/>
    <s v="TRD"/>
    <s v="DG1 - TRD"/>
    <s v="Digital"/>
    <s v="Addition"/>
    <s v="Digital"/>
    <s v="EGP"/>
    <n v="1"/>
    <n v="143989.56"/>
    <s v="Digital"/>
    <b v="1"/>
    <s v="DATALAKE RETIRING _ AGGREGATE LAYER - 2024"/>
  </r>
  <r>
    <n v="61574"/>
    <n v="30669268.919999998"/>
    <x v="0"/>
    <n v="4700"/>
    <x v="0"/>
    <s v="1.345.121212.TRD.DG1"/>
    <s v="DG1"/>
    <s v="TRD"/>
    <s v="DG1 - TRD"/>
    <s v="Digital"/>
    <s v="Addition"/>
    <s v="Digital"/>
    <s v="EUR"/>
    <n v="53.14"/>
    <n v="577140.92811441468"/>
    <s v="Digital"/>
    <b v="1"/>
    <s v="DATA LAKE HW - STORAGE AND SWITCHS - 2024"/>
  </r>
  <r>
    <n v="62606"/>
    <n v="399446"/>
    <x v="0"/>
    <n v="4700"/>
    <x v="1"/>
    <s v="1.345.121212.TRD.DG1"/>
    <s v="DG1"/>
    <s v="TRD"/>
    <s v="DG1 - TRD"/>
    <s v="Digital"/>
    <s v="Addition"/>
    <s v="Digital"/>
    <s v="EGP"/>
    <n v="1"/>
    <n v="399446"/>
    <s v="Digital"/>
    <m/>
    <s v="DATA HW - 2025"/>
  </r>
  <r>
    <n v="61639"/>
    <n v="1075002.1499999999"/>
    <x v="0"/>
    <n v="4700"/>
    <x v="2"/>
    <s v="1.345.121212.TRD.DG1"/>
    <s v="DG1"/>
    <s v="TRD"/>
    <s v="DG1 - TRD"/>
    <s v="Digital"/>
    <s v="Addition"/>
    <s v="Digital"/>
    <s v="EGP"/>
    <n v="1"/>
    <n v="1075002.1499999999"/>
    <s v="Digital"/>
    <m/>
    <s v="DATALAKE RETIRING _ TOOLING IMPLEMENTATION (6 MONTHS) - 2024 (AMEND)"/>
  </r>
  <r>
    <n v="61612"/>
    <n v="14371322.229999999"/>
    <x v="0"/>
    <n v="4700"/>
    <x v="2"/>
    <s v="1.345.121212.TRD.DG1"/>
    <s v="DG1"/>
    <s v="TRD"/>
    <s v="DG1 - TRD"/>
    <s v="Digital"/>
    <s v="Addition"/>
    <s v="Digital"/>
    <s v="USD"/>
    <n v="51"/>
    <n v="281790.63196078426"/>
    <s v="Digital"/>
    <m/>
    <s v="DATA LAKE HW SERVERS - 2024"/>
  </r>
  <r>
    <n v="61110"/>
    <n v="43191.72"/>
    <x v="0"/>
    <n v="4700"/>
    <x v="3"/>
    <s v="1.345.121212.TRD.DG1"/>
    <s v="DG1"/>
    <s v="TRD"/>
    <s v="DG1 - TRD"/>
    <s v="Digital"/>
    <s v="Addition"/>
    <s v="Digital"/>
    <s v="EGP"/>
    <n v="1"/>
    <n v="43191.72"/>
    <s v="Digital"/>
    <m/>
    <s v="DATALAKE RETIRING _ AGGREGATE LAYER - 2024"/>
  </r>
  <r>
    <n v="61639"/>
    <n v="2150004.2999999998"/>
    <x v="0"/>
    <n v="4700"/>
    <x v="3"/>
    <s v="1.345.121212.TRD.DG1"/>
    <s v="DG1"/>
    <s v="TRD"/>
    <s v="DG1 - TRD"/>
    <s v="Digital"/>
    <s v="Addition"/>
    <s v="Digital"/>
    <s v="EGP"/>
    <n v="1"/>
    <n v="2150004.2999999998"/>
    <s v="Digital"/>
    <m/>
    <s v="DATALAKE RETIRING _ TOOLING IMPLEMENTATION (6 MONTHS) - 2024 (AMEND)"/>
  </r>
  <r>
    <n v="63600"/>
    <n v="150500"/>
    <x v="0"/>
    <n v="4700"/>
    <x v="4"/>
    <s v="1.345.121212.TRD.DG1"/>
    <m/>
    <m/>
    <m/>
    <m/>
    <m/>
    <m/>
    <m/>
    <m/>
    <m/>
    <m/>
    <m/>
    <s v="DAILY TRENDS DASHBOARD-2025"/>
  </r>
  <r>
    <n v="61991"/>
    <n v="1170000"/>
    <x v="0"/>
    <n v="4700"/>
    <x v="0"/>
    <s v="1.345.121212.TRD.DG1"/>
    <m/>
    <m/>
    <m/>
    <m/>
    <m/>
    <m/>
    <m/>
    <m/>
    <m/>
    <m/>
    <m/>
    <s v="PE - VOUCHER ENHANCEMENTS SERVICES - 2024"/>
  </r>
  <r>
    <n v="62775"/>
    <n v="1300000"/>
    <x v="0"/>
    <n v="4700"/>
    <x v="1"/>
    <s v="1.345.121212.TRD.DG1"/>
    <m/>
    <m/>
    <m/>
    <m/>
    <m/>
    <m/>
    <m/>
    <m/>
    <m/>
    <m/>
    <m/>
    <s v="PROMO ENGINE SUPPORT FROM 01-JAN-25 TO 31-DEC-25"/>
  </r>
  <r>
    <n v="60080"/>
    <n v="1950000"/>
    <x v="0"/>
    <n v="4700"/>
    <x v="1"/>
    <s v="1.345.121212.TRD.DG1"/>
    <m/>
    <m/>
    <m/>
    <m/>
    <m/>
    <m/>
    <m/>
    <m/>
    <m/>
    <m/>
    <m/>
    <s v="MIGRATING ALL PIPELINES TO DL, ENGINEERING IMPLEMENTATION AND OPERATION 2023"/>
  </r>
  <r>
    <n v="60080"/>
    <n v="975000"/>
    <x v="0"/>
    <n v="4700"/>
    <x v="2"/>
    <s v="1.345.121212.TRD.DG1"/>
    <m/>
    <m/>
    <m/>
    <m/>
    <m/>
    <m/>
    <m/>
    <m/>
    <m/>
    <m/>
    <m/>
    <s v="MIGRATING ALL PIPELINES TO DL, ENGINEERING IMPLEMENTATION AND OPERATION 2023"/>
  </r>
  <r>
    <n v="63600"/>
    <n v="150500"/>
    <x v="0"/>
    <n v="4700"/>
    <x v="4"/>
    <s v="1.345.121212.TRD.DG1"/>
    <m/>
    <m/>
    <m/>
    <m/>
    <m/>
    <m/>
    <m/>
    <m/>
    <m/>
    <m/>
    <m/>
    <s v="DAILY TRENDS DASHBOARD-2025"/>
  </r>
  <r>
    <n v="63570"/>
    <n v="1300000"/>
    <x v="0"/>
    <n v="4700"/>
    <x v="4"/>
    <s v="1.345.121212.TRD.DG1"/>
    <m/>
    <m/>
    <m/>
    <m/>
    <m/>
    <m/>
    <m/>
    <m/>
    <m/>
    <m/>
    <m/>
    <s v="PE SERVICES FOR GVM AND UPSELLING LAYER-20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20:H23" firstHeaderRow="1" firstDataRow="2" firstDataCol="1"/>
  <pivotFields count="18">
    <pivotField showAll="0"/>
    <pivotField dataField="1" showAll="0"/>
    <pivotField axis="axisRow" showAll="0">
      <items count="2">
        <item x="0"/>
        <item t="default"/>
      </items>
    </pivotField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">
    <i>
      <x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Amount in EGP Including Customs" fld="1" baseField="0" baseItem="0"/>
  </dataFields>
  <formats count="3">
    <format dxfId="2">
      <pivotArea collapsedLevelsAreSubtotals="1" fieldPosition="0">
        <references count="1">
          <reference field="2" count="0"/>
        </references>
      </pivotArea>
    </format>
    <format dxfId="1">
      <pivotArea collapsedLevelsAreSubtotals="1" fieldPosition="0">
        <references count="1">
          <reference field="2" count="0"/>
        </references>
      </pivotArea>
    </format>
    <format dxfId="0">
      <pivotArea collapsedLevelsAreSubtotals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"/>
  <sheetViews>
    <sheetView tabSelected="1" zoomScale="83" zoomScaleNormal="70" workbookViewId="0">
      <selection activeCell="B4" sqref="B4:M4"/>
    </sheetView>
  </sheetViews>
  <sheetFormatPr defaultRowHeight="14.5" x14ac:dyDescent="0.35"/>
  <cols>
    <col min="1" max="1" width="15.36328125" customWidth="1"/>
    <col min="2" max="2" width="12.54296875" bestFit="1" customWidth="1"/>
    <col min="3" max="4" width="10.6328125" bestFit="1" customWidth="1"/>
    <col min="5" max="5" width="11.6328125" bestFit="1" customWidth="1"/>
    <col min="6" max="8" width="10.6328125" bestFit="1" customWidth="1"/>
    <col min="9" max="9" width="9" bestFit="1" customWidth="1"/>
    <col min="10" max="11" width="11.453125" bestFit="1" customWidth="1"/>
    <col min="12" max="12" width="11.7265625" bestFit="1" customWidth="1"/>
    <col min="13" max="13" width="11.453125" bestFit="1" customWidth="1"/>
    <col min="14" max="15" width="13.90625" customWidth="1"/>
    <col min="16" max="16" width="13.453125" customWidth="1"/>
    <col min="17" max="17" width="13.90625" hidden="1" customWidth="1"/>
    <col min="18" max="18" width="13.453125" hidden="1" customWidth="1"/>
    <col min="19" max="19" width="14.90625" customWidth="1"/>
    <col min="20" max="20" width="13.90625" customWidth="1"/>
    <col min="21" max="21" width="14.36328125" style="14" customWidth="1"/>
    <col min="22" max="22" width="16.90625" bestFit="1" customWidth="1"/>
    <col min="24" max="24" width="16.453125" customWidth="1"/>
    <col min="25" max="25" width="13.54296875" customWidth="1"/>
    <col min="26" max="26" width="12" bestFit="1" customWidth="1"/>
  </cols>
  <sheetData>
    <row r="1" spans="1:14" x14ac:dyDescent="0.35">
      <c r="A1" s="21" t="s">
        <v>31</v>
      </c>
      <c r="B1" s="41" t="s">
        <v>18</v>
      </c>
      <c r="C1" s="21" t="s">
        <v>19</v>
      </c>
      <c r="D1" s="21" t="s">
        <v>20</v>
      </c>
      <c r="E1" s="21" t="s">
        <v>21</v>
      </c>
      <c r="F1" s="21" t="s">
        <v>22</v>
      </c>
      <c r="G1" s="21" t="s">
        <v>23</v>
      </c>
      <c r="H1" s="21" t="s">
        <v>24</v>
      </c>
      <c r="I1" s="21" t="s">
        <v>25</v>
      </c>
      <c r="J1" s="21" t="s">
        <v>26</v>
      </c>
      <c r="K1" s="21" t="s">
        <v>27</v>
      </c>
      <c r="L1" s="21" t="s">
        <v>28</v>
      </c>
      <c r="M1" s="22" t="s">
        <v>29</v>
      </c>
      <c r="N1" s="23" t="s">
        <v>7</v>
      </c>
    </row>
    <row r="2" spans="1:14" x14ac:dyDescent="0.35">
      <c r="A2" s="27" t="s">
        <v>61</v>
      </c>
      <c r="B2" s="25">
        <v>6358333.333333333</v>
      </c>
      <c r="C2" s="25">
        <v>7758333.333333333</v>
      </c>
      <c r="D2" s="25">
        <v>7758333.333333333</v>
      </c>
      <c r="E2" s="25">
        <v>758333.33333333337</v>
      </c>
      <c r="F2" s="25">
        <v>4258333.333333333</v>
      </c>
      <c r="G2" s="25">
        <v>6574213.333333333</v>
      </c>
      <c r="H2" s="25">
        <v>758333.33333333337</v>
      </c>
      <c r="I2" s="25">
        <v>758333.33333333337</v>
      </c>
      <c r="J2" s="25">
        <v>758333.33333333337</v>
      </c>
      <c r="K2" s="25">
        <v>758333.33333333337</v>
      </c>
      <c r="L2" s="25">
        <v>43528333.333333336</v>
      </c>
      <c r="M2" s="26">
        <v>758333.33333333337</v>
      </c>
      <c r="N2" s="42">
        <f>SUM(B2:M2)</f>
        <v>80785880</v>
      </c>
    </row>
    <row r="3" spans="1:14" x14ac:dyDescent="0.35">
      <c r="A3" s="28" t="s">
        <v>62</v>
      </c>
      <c r="B3" s="24">
        <v>31983258.479999997</v>
      </c>
      <c r="C3" s="24"/>
      <c r="D3" s="24">
        <v>3649446</v>
      </c>
      <c r="E3" s="24">
        <f>16421324.38+88455</f>
        <v>16509779.380000001</v>
      </c>
      <c r="F3" s="24">
        <f>2193196.02-18750</f>
        <v>2174446.02</v>
      </c>
      <c r="H3" s="24">
        <v>1601000</v>
      </c>
      <c r="J3" s="14">
        <f>(1950000/5+(1250000+2880803))</f>
        <v>4520803</v>
      </c>
      <c r="K3" s="14">
        <f>(1950000/5)+(12000000*0.9)+(1700000)+(1250000)+(1054575)+(85000)</f>
        <v>15279575</v>
      </c>
      <c r="L3" s="14">
        <f>(1950000/5)+1800000</f>
        <v>2190000</v>
      </c>
      <c r="M3" s="14">
        <f t="shared" ref="M3" si="0">1950000/5</f>
        <v>390000</v>
      </c>
      <c r="N3" s="45">
        <f>SUM(B3:M3)</f>
        <v>78298307.879999995</v>
      </c>
    </row>
    <row r="4" spans="1:14" x14ac:dyDescent="0.35">
      <c r="A4" s="29" t="s">
        <v>63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29"/>
    </row>
    <row r="5" spans="1:14" x14ac:dyDescent="0.35">
      <c r="N5" s="15"/>
    </row>
  </sheetData>
  <phoneticPr fontId="1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3"/>
  <sheetViews>
    <sheetView topLeftCell="M1" zoomScale="115" workbookViewId="0">
      <selection activeCell="R10" sqref="R10"/>
    </sheetView>
  </sheetViews>
  <sheetFormatPr defaultRowHeight="14.5" x14ac:dyDescent="0.35"/>
  <cols>
    <col min="1" max="1" width="6" bestFit="1" customWidth="1"/>
    <col min="2" max="2" width="36.6328125" bestFit="1" customWidth="1"/>
    <col min="3" max="3" width="15.54296875" customWidth="1"/>
    <col min="4" max="4" width="14.08984375" bestFit="1" customWidth="1"/>
    <col min="5" max="5" width="12" customWidth="1"/>
    <col min="6" max="6" width="20.1796875" bestFit="1" customWidth="1"/>
    <col min="7" max="7" width="10.453125" bestFit="1" customWidth="1"/>
    <col min="8" max="8" width="12" customWidth="1"/>
    <col min="9" max="9" width="11.453125" bestFit="1" customWidth="1"/>
    <col min="10" max="10" width="12.36328125" bestFit="1" customWidth="1"/>
    <col min="11" max="11" width="7.81640625" bestFit="1" customWidth="1"/>
    <col min="12" max="12" width="12.453125" bestFit="1" customWidth="1"/>
    <col min="13" max="13" width="17.36328125" bestFit="1" customWidth="1"/>
    <col min="14" max="14" width="12.08984375" bestFit="1" customWidth="1"/>
    <col min="15" max="15" width="16.54296875" bestFit="1" customWidth="1"/>
    <col min="16" max="16" width="8.453125" bestFit="1" customWidth="1"/>
    <col min="17" max="17" width="5.453125" bestFit="1" customWidth="1"/>
    <col min="18" max="18" width="77.08984375" bestFit="1" customWidth="1"/>
  </cols>
  <sheetData>
    <row r="1" spans="1:18" ht="15.5" x14ac:dyDescent="0.35">
      <c r="A1" s="30" t="s">
        <v>32</v>
      </c>
      <c r="B1" s="31" t="s">
        <v>33</v>
      </c>
      <c r="C1" s="32" t="s">
        <v>34</v>
      </c>
      <c r="D1" s="33" t="s">
        <v>35</v>
      </c>
      <c r="E1" s="33" t="s">
        <v>36</v>
      </c>
      <c r="F1" s="33" t="s">
        <v>37</v>
      </c>
      <c r="G1" s="33" t="s">
        <v>34</v>
      </c>
      <c r="H1" s="33" t="s">
        <v>38</v>
      </c>
      <c r="I1" s="33" t="s">
        <v>39</v>
      </c>
      <c r="J1" s="33" t="s">
        <v>40</v>
      </c>
      <c r="K1" s="33" t="s">
        <v>41</v>
      </c>
      <c r="L1" s="34" t="s">
        <v>42</v>
      </c>
      <c r="M1" s="33" t="s">
        <v>43</v>
      </c>
      <c r="N1" s="35" t="s">
        <v>44</v>
      </c>
      <c r="O1" s="33" t="s">
        <v>45</v>
      </c>
      <c r="P1" s="34" t="s">
        <v>46</v>
      </c>
      <c r="Q1" s="36" t="s">
        <v>47</v>
      </c>
      <c r="R1" s="34" t="s">
        <v>48</v>
      </c>
    </row>
    <row r="2" spans="1:18" x14ac:dyDescent="0.35">
      <c r="A2" s="19">
        <v>61110</v>
      </c>
      <c r="B2" s="37">
        <v>143989.56</v>
      </c>
      <c r="C2" s="38" t="s">
        <v>49</v>
      </c>
      <c r="D2" s="18">
        <v>4700</v>
      </c>
      <c r="E2" s="18" t="s">
        <v>50</v>
      </c>
      <c r="F2" s="18" t="s">
        <v>51</v>
      </c>
      <c r="G2" s="18" t="s">
        <v>49</v>
      </c>
      <c r="H2" s="18" t="s">
        <v>52</v>
      </c>
      <c r="I2" s="18" t="s">
        <v>53</v>
      </c>
      <c r="J2" s="18" t="s">
        <v>8</v>
      </c>
      <c r="K2" s="18" t="s">
        <v>54</v>
      </c>
      <c r="L2" s="18" t="s">
        <v>8</v>
      </c>
      <c r="M2" s="18" t="s">
        <v>3</v>
      </c>
      <c r="N2" s="18">
        <v>1</v>
      </c>
      <c r="O2" s="37">
        <v>143989.56</v>
      </c>
      <c r="P2" s="18" t="s">
        <v>8</v>
      </c>
      <c r="Q2" s="36" t="b">
        <v>1</v>
      </c>
      <c r="R2" s="39" t="s">
        <v>55</v>
      </c>
    </row>
    <row r="3" spans="1:18" x14ac:dyDescent="0.35">
      <c r="A3" s="19">
        <v>61574</v>
      </c>
      <c r="B3" s="37">
        <v>30669268.919999998</v>
      </c>
      <c r="C3" s="38" t="s">
        <v>49</v>
      </c>
      <c r="D3" s="18">
        <v>4700</v>
      </c>
      <c r="E3" s="18" t="s">
        <v>50</v>
      </c>
      <c r="F3" s="18" t="s">
        <v>51</v>
      </c>
      <c r="G3" s="18" t="s">
        <v>49</v>
      </c>
      <c r="H3" s="18" t="s">
        <v>52</v>
      </c>
      <c r="I3" s="18" t="s">
        <v>53</v>
      </c>
      <c r="J3" s="18" t="s">
        <v>8</v>
      </c>
      <c r="K3" s="18" t="s">
        <v>54</v>
      </c>
      <c r="L3" s="18" t="s">
        <v>8</v>
      </c>
      <c r="M3" s="18" t="s">
        <v>56</v>
      </c>
      <c r="N3" s="18">
        <v>53.14</v>
      </c>
      <c r="O3" s="37">
        <v>577140.92811441468</v>
      </c>
      <c r="P3" s="18" t="s">
        <v>8</v>
      </c>
      <c r="Q3" s="36" t="b">
        <v>1</v>
      </c>
      <c r="R3" s="39" t="s">
        <v>57</v>
      </c>
    </row>
    <row r="4" spans="1:18" x14ac:dyDescent="0.35">
      <c r="A4" s="19">
        <v>62606</v>
      </c>
      <c r="B4" s="37">
        <v>399446</v>
      </c>
      <c r="C4" s="38" t="s">
        <v>49</v>
      </c>
      <c r="D4" s="18">
        <v>4700</v>
      </c>
      <c r="E4" s="18" t="s">
        <v>20</v>
      </c>
      <c r="F4" s="18" t="s">
        <v>51</v>
      </c>
      <c r="G4" s="18" t="s">
        <v>49</v>
      </c>
      <c r="H4" s="18" t="s">
        <v>52</v>
      </c>
      <c r="I4" s="18" t="s">
        <v>53</v>
      </c>
      <c r="J4" s="18" t="s">
        <v>8</v>
      </c>
      <c r="K4" s="18" t="s">
        <v>54</v>
      </c>
      <c r="L4" s="18" t="s">
        <v>8</v>
      </c>
      <c r="M4" s="18" t="s">
        <v>3</v>
      </c>
      <c r="N4" s="18">
        <v>1</v>
      </c>
      <c r="O4" s="37">
        <v>399446</v>
      </c>
      <c r="P4" s="18" t="s">
        <v>8</v>
      </c>
      <c r="Q4" s="36"/>
      <c r="R4" s="39" t="s">
        <v>58</v>
      </c>
    </row>
    <row r="5" spans="1:18" x14ac:dyDescent="0.35">
      <c r="A5" s="19">
        <v>61639</v>
      </c>
      <c r="B5" s="37">
        <v>1075002.1499999999</v>
      </c>
      <c r="C5" s="38" t="s">
        <v>49</v>
      </c>
      <c r="D5" s="18">
        <v>4700</v>
      </c>
      <c r="E5" s="18" t="s">
        <v>21</v>
      </c>
      <c r="F5" s="18" t="s">
        <v>51</v>
      </c>
      <c r="G5" s="18" t="s">
        <v>49</v>
      </c>
      <c r="H5" s="18" t="s">
        <v>52</v>
      </c>
      <c r="I5" s="18" t="s">
        <v>53</v>
      </c>
      <c r="J5" s="18" t="s">
        <v>8</v>
      </c>
      <c r="K5" s="18" t="s">
        <v>54</v>
      </c>
      <c r="L5" s="18" t="s">
        <v>8</v>
      </c>
      <c r="M5" s="18" t="s">
        <v>3</v>
      </c>
      <c r="N5" s="18">
        <v>1</v>
      </c>
      <c r="O5" s="37">
        <v>1075002.1499999999</v>
      </c>
      <c r="P5" s="18" t="s">
        <v>8</v>
      </c>
      <c r="Q5" s="36"/>
      <c r="R5" s="39" t="s">
        <v>59</v>
      </c>
    </row>
    <row r="6" spans="1:18" x14ac:dyDescent="0.35">
      <c r="A6" s="36">
        <v>61612</v>
      </c>
      <c r="B6" s="40">
        <v>14371322.229999999</v>
      </c>
      <c r="C6" s="38" t="s">
        <v>49</v>
      </c>
      <c r="D6" s="18">
        <v>4700</v>
      </c>
      <c r="E6" s="18" t="s">
        <v>21</v>
      </c>
      <c r="F6" s="18" t="s">
        <v>51</v>
      </c>
      <c r="G6" s="18" t="s">
        <v>49</v>
      </c>
      <c r="H6" s="18" t="s">
        <v>52</v>
      </c>
      <c r="I6" s="18" t="s">
        <v>53</v>
      </c>
      <c r="J6" s="18" t="s">
        <v>8</v>
      </c>
      <c r="K6" s="18" t="s">
        <v>54</v>
      </c>
      <c r="L6" s="18" t="s">
        <v>8</v>
      </c>
      <c r="M6" s="18" t="s">
        <v>4</v>
      </c>
      <c r="N6" s="18">
        <v>51</v>
      </c>
      <c r="O6" s="37">
        <v>281790.63196078426</v>
      </c>
      <c r="P6" s="18" t="s">
        <v>8</v>
      </c>
      <c r="Q6" s="36"/>
      <c r="R6" s="39" t="s">
        <v>60</v>
      </c>
    </row>
    <row r="7" spans="1:18" x14ac:dyDescent="0.35">
      <c r="A7" s="19">
        <v>61110</v>
      </c>
      <c r="B7" s="37">
        <v>43191.72</v>
      </c>
      <c r="C7" s="38" t="s">
        <v>49</v>
      </c>
      <c r="D7" s="18">
        <v>4700</v>
      </c>
      <c r="E7" s="18" t="s">
        <v>22</v>
      </c>
      <c r="F7" s="18" t="s">
        <v>51</v>
      </c>
      <c r="G7" s="18" t="s">
        <v>49</v>
      </c>
      <c r="H7" s="18" t="s">
        <v>52</v>
      </c>
      <c r="I7" s="18" t="s">
        <v>53</v>
      </c>
      <c r="J7" s="18" t="s">
        <v>8</v>
      </c>
      <c r="K7" s="18" t="s">
        <v>54</v>
      </c>
      <c r="L7" s="18" t="s">
        <v>8</v>
      </c>
      <c r="M7" s="18" t="s">
        <v>3</v>
      </c>
      <c r="N7" s="18">
        <v>1</v>
      </c>
      <c r="O7" s="37">
        <v>43191.72</v>
      </c>
      <c r="P7" s="18" t="s">
        <v>8</v>
      </c>
      <c r="Q7" s="36"/>
      <c r="R7" s="39" t="s">
        <v>55</v>
      </c>
    </row>
    <row r="8" spans="1:18" x14ac:dyDescent="0.35">
      <c r="A8" s="19">
        <v>61639</v>
      </c>
      <c r="B8" s="37">
        <v>2150004.2999999998</v>
      </c>
      <c r="C8" s="38" t="s">
        <v>49</v>
      </c>
      <c r="D8" s="18">
        <v>4700</v>
      </c>
      <c r="E8" s="18" t="s">
        <v>22</v>
      </c>
      <c r="F8" s="18" t="s">
        <v>51</v>
      </c>
      <c r="G8" s="18" t="s">
        <v>49</v>
      </c>
      <c r="H8" s="18" t="s">
        <v>52</v>
      </c>
      <c r="I8" s="18" t="s">
        <v>53</v>
      </c>
      <c r="J8" s="18" t="s">
        <v>8</v>
      </c>
      <c r="K8" s="18" t="s">
        <v>54</v>
      </c>
      <c r="L8" s="18" t="s">
        <v>8</v>
      </c>
      <c r="M8" s="18" t="s">
        <v>3</v>
      </c>
      <c r="N8" s="18">
        <v>1</v>
      </c>
      <c r="O8" s="37">
        <v>2150004.2999999998</v>
      </c>
      <c r="P8" s="18" t="s">
        <v>8</v>
      </c>
      <c r="Q8" s="36"/>
      <c r="R8" s="39" t="s">
        <v>59</v>
      </c>
    </row>
    <row r="9" spans="1:18" x14ac:dyDescent="0.35">
      <c r="A9" s="19">
        <v>63600</v>
      </c>
      <c r="B9" s="37">
        <v>150500</v>
      </c>
      <c r="C9" s="38" t="s">
        <v>49</v>
      </c>
      <c r="D9" s="18">
        <v>4700</v>
      </c>
      <c r="E9" s="18" t="s">
        <v>68</v>
      </c>
      <c r="F9" s="18" t="s">
        <v>51</v>
      </c>
      <c r="G9" s="18"/>
      <c r="H9" s="18"/>
      <c r="I9" s="18"/>
      <c r="J9" s="18"/>
      <c r="K9" s="18"/>
      <c r="L9" s="18"/>
      <c r="M9" s="18"/>
      <c r="N9" s="18"/>
      <c r="O9" s="37"/>
      <c r="P9" s="18"/>
      <c r="Q9" s="36"/>
      <c r="R9" s="39" t="s">
        <v>69</v>
      </c>
    </row>
    <row r="10" spans="1:18" x14ac:dyDescent="0.35">
      <c r="A10" s="19">
        <v>61991</v>
      </c>
      <c r="B10" s="37">
        <v>1170000</v>
      </c>
      <c r="C10" s="38" t="s">
        <v>49</v>
      </c>
      <c r="D10" s="18">
        <v>4700</v>
      </c>
      <c r="E10" s="18" t="s">
        <v>50</v>
      </c>
      <c r="F10" s="18" t="s">
        <v>51</v>
      </c>
      <c r="J10" s="18"/>
      <c r="K10" s="18"/>
      <c r="L10" s="18"/>
      <c r="M10" s="18"/>
      <c r="N10" s="18"/>
      <c r="O10" s="37"/>
      <c r="P10" s="18"/>
      <c r="Q10" s="36"/>
      <c r="R10" s="18" t="s">
        <v>70</v>
      </c>
    </row>
    <row r="11" spans="1:18" x14ac:dyDescent="0.35">
      <c r="A11" s="19">
        <v>62775</v>
      </c>
      <c r="B11" s="37">
        <v>1300000</v>
      </c>
      <c r="C11" s="38" t="s">
        <v>49</v>
      </c>
      <c r="D11" s="18">
        <v>4700</v>
      </c>
      <c r="E11" s="18" t="s">
        <v>20</v>
      </c>
      <c r="F11" s="18" t="s">
        <v>51</v>
      </c>
      <c r="J11" s="18"/>
      <c r="K11" s="18"/>
      <c r="L11" s="18"/>
      <c r="M11" s="18"/>
      <c r="N11" s="18"/>
      <c r="O11" s="37"/>
      <c r="P11" s="18"/>
      <c r="Q11" s="36"/>
      <c r="R11" s="18" t="s">
        <v>71</v>
      </c>
    </row>
    <row r="12" spans="1:18" x14ac:dyDescent="0.35">
      <c r="A12" s="19">
        <v>60080</v>
      </c>
      <c r="B12" s="37">
        <v>1950000</v>
      </c>
      <c r="C12" s="38" t="s">
        <v>49</v>
      </c>
      <c r="D12" s="18">
        <v>4700</v>
      </c>
      <c r="E12" s="18" t="s">
        <v>20</v>
      </c>
      <c r="F12" s="18" t="s">
        <v>51</v>
      </c>
      <c r="J12" s="18"/>
      <c r="K12" s="18"/>
      <c r="L12" s="18"/>
      <c r="M12" s="18"/>
      <c r="N12" s="18"/>
      <c r="O12" s="37"/>
      <c r="P12" s="18"/>
      <c r="Q12" s="36"/>
      <c r="R12" s="18" t="s">
        <v>72</v>
      </c>
    </row>
    <row r="13" spans="1:18" x14ac:dyDescent="0.35">
      <c r="A13" s="19">
        <v>60080</v>
      </c>
      <c r="B13" s="37">
        <v>975000</v>
      </c>
      <c r="C13" s="38" t="s">
        <v>49</v>
      </c>
      <c r="D13" s="18">
        <v>4700</v>
      </c>
      <c r="E13" s="18" t="s">
        <v>21</v>
      </c>
      <c r="F13" s="18" t="s">
        <v>51</v>
      </c>
      <c r="J13" s="18"/>
      <c r="K13" s="18"/>
      <c r="L13" s="18"/>
      <c r="M13" s="18"/>
      <c r="N13" s="18"/>
      <c r="O13" s="37"/>
      <c r="P13" s="18"/>
      <c r="Q13" s="36"/>
      <c r="R13" s="18" t="s">
        <v>72</v>
      </c>
    </row>
    <row r="14" spans="1:18" x14ac:dyDescent="0.35">
      <c r="A14" s="19">
        <v>63600</v>
      </c>
      <c r="B14" s="37">
        <v>150500</v>
      </c>
      <c r="C14" s="38" t="s">
        <v>49</v>
      </c>
      <c r="D14" s="18">
        <v>4700</v>
      </c>
      <c r="E14" s="18" t="s">
        <v>68</v>
      </c>
      <c r="F14" s="18" t="s">
        <v>51</v>
      </c>
      <c r="J14" s="18"/>
      <c r="K14" s="18"/>
      <c r="L14" s="18"/>
      <c r="M14" s="18"/>
      <c r="N14" s="18"/>
      <c r="O14" s="37"/>
      <c r="P14" s="18"/>
      <c r="Q14" s="36"/>
      <c r="R14" s="18" t="s">
        <v>69</v>
      </c>
    </row>
    <row r="15" spans="1:18" x14ac:dyDescent="0.35">
      <c r="A15" s="19">
        <v>63570</v>
      </c>
      <c r="B15" s="37">
        <v>1300000</v>
      </c>
      <c r="C15" s="38" t="s">
        <v>49</v>
      </c>
      <c r="D15" s="18">
        <v>4700</v>
      </c>
      <c r="E15" s="18" t="s">
        <v>68</v>
      </c>
      <c r="F15" s="18" t="s">
        <v>51</v>
      </c>
      <c r="J15" s="18"/>
      <c r="K15" s="18"/>
      <c r="L15" s="18"/>
      <c r="M15" s="18"/>
      <c r="N15" s="18"/>
      <c r="O15" s="37"/>
      <c r="P15" s="18"/>
      <c r="Q15" s="36"/>
      <c r="R15" s="18" t="s">
        <v>73</v>
      </c>
    </row>
    <row r="20" spans="2:8" x14ac:dyDescent="0.35">
      <c r="B20" s="43" t="s">
        <v>64</v>
      </c>
      <c r="C20" s="43" t="s">
        <v>65</v>
      </c>
    </row>
    <row r="21" spans="2:8" x14ac:dyDescent="0.35">
      <c r="B21" s="43" t="s">
        <v>67</v>
      </c>
      <c r="C21" t="s">
        <v>50</v>
      </c>
      <c r="D21" t="s">
        <v>20</v>
      </c>
      <c r="E21" t="s">
        <v>21</v>
      </c>
      <c r="F21" t="s">
        <v>22</v>
      </c>
      <c r="G21" t="s">
        <v>68</v>
      </c>
      <c r="H21" t="s">
        <v>66</v>
      </c>
    </row>
    <row r="22" spans="2:8" x14ac:dyDescent="0.35">
      <c r="B22" s="44" t="s">
        <v>49</v>
      </c>
      <c r="C22" s="15">
        <v>31983258.479999997</v>
      </c>
      <c r="D22" s="15">
        <v>3649446</v>
      </c>
      <c r="E22" s="15">
        <v>16421324.379999999</v>
      </c>
      <c r="F22" s="15">
        <v>2193196.02</v>
      </c>
      <c r="G22" s="15">
        <v>1601000</v>
      </c>
      <c r="H22" s="15">
        <v>55848224.880000003</v>
      </c>
    </row>
    <row r="23" spans="2:8" x14ac:dyDescent="0.35">
      <c r="B23" s="44" t="s">
        <v>66</v>
      </c>
      <c r="C23">
        <v>31983258.479999997</v>
      </c>
      <c r="D23">
        <v>3649446</v>
      </c>
      <c r="E23">
        <v>16421324.379999999</v>
      </c>
      <c r="F23">
        <v>2193196.02</v>
      </c>
      <c r="G23">
        <v>1601000</v>
      </c>
      <c r="H23">
        <v>55848224.880000003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4"/>
  <sheetViews>
    <sheetView zoomScale="75" workbookViewId="0">
      <selection activeCell="H21" sqref="H21"/>
    </sheetView>
  </sheetViews>
  <sheetFormatPr defaultRowHeight="14.5" x14ac:dyDescent="0.35"/>
  <cols>
    <col min="1" max="1" width="12.6328125" bestFit="1" customWidth="1"/>
    <col min="2" max="2" width="117.453125" bestFit="1" customWidth="1"/>
    <col min="3" max="3" width="15.453125" hidden="1" customWidth="1"/>
    <col min="4" max="4" width="10.08984375" hidden="1" customWidth="1"/>
    <col min="5" max="5" width="15.453125" hidden="1" customWidth="1"/>
    <col min="6" max="6" width="15.453125" bestFit="1" customWidth="1"/>
    <col min="7" max="7" width="8.6328125" bestFit="1" customWidth="1"/>
    <col min="8" max="8" width="16.6328125" bestFit="1" customWidth="1"/>
    <col min="9" max="9" width="14.08984375" bestFit="1" customWidth="1"/>
    <col min="10" max="11" width="15.453125" bestFit="1" customWidth="1"/>
    <col min="12" max="18" width="14.08984375" bestFit="1" customWidth="1"/>
    <col min="19" max="19" width="15.453125" bestFit="1" customWidth="1"/>
    <col min="20" max="20" width="14.08984375" bestFit="1" customWidth="1"/>
    <col min="21" max="21" width="16.6328125" bestFit="1" customWidth="1"/>
    <col min="22" max="22" width="16.1796875" bestFit="1" customWidth="1"/>
  </cols>
  <sheetData>
    <row r="1" spans="1:22" x14ac:dyDescent="0.35">
      <c r="A1" s="57" t="s">
        <v>0</v>
      </c>
      <c r="B1" s="57" t="s">
        <v>1</v>
      </c>
      <c r="C1" s="58">
        <v>2024</v>
      </c>
      <c r="D1" s="58"/>
      <c r="E1" s="58"/>
      <c r="F1" s="59">
        <v>2025</v>
      </c>
      <c r="G1" s="60"/>
      <c r="H1" s="61"/>
      <c r="U1" s="14"/>
    </row>
    <row r="2" spans="1:22" x14ac:dyDescent="0.35">
      <c r="A2" s="57"/>
      <c r="B2" s="57"/>
      <c r="C2" s="4" t="s">
        <v>16</v>
      </c>
      <c r="D2" s="4" t="s">
        <v>2</v>
      </c>
      <c r="E2" s="5" t="s">
        <v>15</v>
      </c>
      <c r="F2" s="7" t="s">
        <v>17</v>
      </c>
      <c r="G2" s="7" t="s">
        <v>2</v>
      </c>
      <c r="H2" s="7" t="s">
        <v>9</v>
      </c>
      <c r="I2" s="53" t="s">
        <v>18</v>
      </c>
      <c r="J2" s="53" t="s">
        <v>19</v>
      </c>
      <c r="K2" s="53" t="s">
        <v>20</v>
      </c>
      <c r="L2" s="53" t="s">
        <v>21</v>
      </c>
      <c r="M2" s="53" t="s">
        <v>22</v>
      </c>
      <c r="N2" s="53" t="s">
        <v>23</v>
      </c>
      <c r="O2" s="53" t="s">
        <v>24</v>
      </c>
      <c r="P2" s="53" t="s">
        <v>25</v>
      </c>
      <c r="Q2" s="53" t="s">
        <v>26</v>
      </c>
      <c r="R2" s="53" t="s">
        <v>27</v>
      </c>
      <c r="S2" s="53" t="s">
        <v>28</v>
      </c>
      <c r="T2" s="54" t="s">
        <v>29</v>
      </c>
      <c r="U2" s="55" t="s">
        <v>7</v>
      </c>
      <c r="V2" s="53" t="s">
        <v>30</v>
      </c>
    </row>
    <row r="3" spans="1:22" x14ac:dyDescent="0.35">
      <c r="A3" s="12" t="s">
        <v>5</v>
      </c>
      <c r="B3" s="13" t="s">
        <v>10</v>
      </c>
      <c r="C3" s="48"/>
      <c r="D3" s="47"/>
      <c r="E3" s="6"/>
      <c r="F3" s="8">
        <v>13000000</v>
      </c>
      <c r="G3" s="8" t="s">
        <v>3</v>
      </c>
      <c r="H3" s="8">
        <v>13000000</v>
      </c>
      <c r="I3" s="14">
        <v>8000000</v>
      </c>
      <c r="J3" s="14"/>
      <c r="K3" s="14"/>
      <c r="L3" s="14"/>
      <c r="M3" s="14">
        <v>5000000</v>
      </c>
      <c r="N3" s="14"/>
      <c r="O3" s="14"/>
      <c r="P3" s="14"/>
      <c r="Q3" s="14"/>
      <c r="R3" s="14"/>
      <c r="S3" s="14"/>
      <c r="T3" s="14"/>
      <c r="U3" s="14">
        <v>13000000</v>
      </c>
      <c r="V3" s="17">
        <v>9100000</v>
      </c>
    </row>
    <row r="4" spans="1:22" x14ac:dyDescent="0.35">
      <c r="A4" s="12" t="s">
        <v>5</v>
      </c>
      <c r="B4" s="13" t="s">
        <v>11</v>
      </c>
      <c r="C4" s="48">
        <v>160000</v>
      </c>
      <c r="D4" s="47" t="s">
        <v>4</v>
      </c>
      <c r="E4" s="6">
        <v>6368000</v>
      </c>
      <c r="F4" s="10">
        <v>61100000</v>
      </c>
      <c r="G4" s="8" t="s">
        <v>3</v>
      </c>
      <c r="H4" s="10">
        <v>61100000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0">
        <v>61100000</v>
      </c>
      <c r="T4" s="14"/>
      <c r="U4" s="14">
        <v>61100000</v>
      </c>
      <c r="V4" s="17">
        <v>42770000</v>
      </c>
    </row>
    <row r="5" spans="1:22" x14ac:dyDescent="0.35">
      <c r="A5" s="12" t="s">
        <v>5</v>
      </c>
      <c r="B5" s="13" t="s">
        <v>14</v>
      </c>
      <c r="C5" s="48">
        <v>60000</v>
      </c>
      <c r="D5" s="47" t="s">
        <v>4</v>
      </c>
      <c r="E5" s="6">
        <v>2388000</v>
      </c>
      <c r="F5" s="8">
        <v>6000000</v>
      </c>
      <c r="G5" s="8" t="s">
        <v>3</v>
      </c>
      <c r="H5" s="8">
        <v>6000000</v>
      </c>
      <c r="I5" s="14">
        <v>500000</v>
      </c>
      <c r="J5" s="14">
        <v>500000</v>
      </c>
      <c r="K5" s="14">
        <v>500000</v>
      </c>
      <c r="L5" s="14">
        <v>500000</v>
      </c>
      <c r="M5" s="14">
        <v>500000</v>
      </c>
      <c r="N5" s="14">
        <v>500000</v>
      </c>
      <c r="O5" s="14">
        <v>500000</v>
      </c>
      <c r="P5" s="14">
        <v>500000</v>
      </c>
      <c r="Q5" s="14">
        <v>500000</v>
      </c>
      <c r="R5" s="14">
        <v>500000</v>
      </c>
      <c r="S5" s="14">
        <v>500000</v>
      </c>
      <c r="T5" s="14">
        <v>500000</v>
      </c>
      <c r="U5" s="14">
        <v>6000000</v>
      </c>
      <c r="V5" s="17">
        <v>4200000</v>
      </c>
    </row>
    <row r="6" spans="1:22" x14ac:dyDescent="0.35">
      <c r="A6" s="12" t="s">
        <v>5</v>
      </c>
      <c r="B6" s="13" t="s">
        <v>12</v>
      </c>
      <c r="C6" s="48">
        <v>7000</v>
      </c>
      <c r="D6" s="47" t="s">
        <v>4</v>
      </c>
      <c r="E6" s="6">
        <v>278600</v>
      </c>
      <c r="F6" s="11">
        <v>7000000</v>
      </c>
      <c r="G6" s="8" t="s">
        <v>3</v>
      </c>
      <c r="H6" s="11">
        <v>7000000</v>
      </c>
      <c r="I6" s="14">
        <v>583333.33333333337</v>
      </c>
      <c r="J6" s="14">
        <v>583333.33333333337</v>
      </c>
      <c r="K6" s="14">
        <v>583333.33333333337</v>
      </c>
      <c r="L6" s="14">
        <v>583333.33333333337</v>
      </c>
      <c r="M6" s="14">
        <v>583333.33333333337</v>
      </c>
      <c r="N6" s="14">
        <v>583333.33333333337</v>
      </c>
      <c r="O6" s="14">
        <v>583333.33333333337</v>
      </c>
      <c r="P6" s="14">
        <v>583333.33333333337</v>
      </c>
      <c r="Q6" s="14">
        <v>583333.33333333337</v>
      </c>
      <c r="R6" s="14">
        <v>583333.33333333337</v>
      </c>
      <c r="S6" s="14">
        <v>583333.33333333337</v>
      </c>
      <c r="T6" s="14">
        <v>583333.33333333337</v>
      </c>
      <c r="U6" s="14">
        <v>6999999.9999999991</v>
      </c>
      <c r="V6" s="17">
        <v>4899999.9999999991</v>
      </c>
    </row>
    <row r="7" spans="1:22" x14ac:dyDescent="0.35">
      <c r="A7" s="12" t="s">
        <v>5</v>
      </c>
      <c r="B7" s="13" t="s">
        <v>13</v>
      </c>
      <c r="C7" s="48">
        <v>45479</v>
      </c>
      <c r="D7" s="47" t="s">
        <v>3</v>
      </c>
      <c r="E7" s="6">
        <v>45479</v>
      </c>
      <c r="F7" s="8">
        <v>380000</v>
      </c>
      <c r="G7" s="8" t="s">
        <v>4</v>
      </c>
      <c r="H7" s="8">
        <v>18308400</v>
      </c>
      <c r="I7" s="14"/>
      <c r="J7" s="14"/>
      <c r="K7" s="14">
        <v>10000000</v>
      </c>
      <c r="L7" s="14"/>
      <c r="M7" s="14"/>
      <c r="N7" s="14">
        <v>8308400</v>
      </c>
      <c r="O7" s="14"/>
      <c r="P7" s="14"/>
      <c r="Q7" s="14"/>
      <c r="R7" s="14"/>
      <c r="S7" s="14"/>
      <c r="T7" s="14"/>
      <c r="U7" s="14">
        <v>18308400</v>
      </c>
      <c r="V7" s="17">
        <v>12815880</v>
      </c>
    </row>
    <row r="8" spans="1:22" ht="15" thickBot="1" x14ac:dyDescent="0.4">
      <c r="A8" s="2" t="s">
        <v>5</v>
      </c>
      <c r="B8" s="3" t="s">
        <v>6</v>
      </c>
      <c r="C8" s="48">
        <v>125000</v>
      </c>
      <c r="D8" s="47" t="s">
        <v>4</v>
      </c>
      <c r="E8" s="6">
        <v>4975000</v>
      </c>
      <c r="F8" s="49">
        <v>10000000</v>
      </c>
      <c r="G8" s="8" t="s">
        <v>3</v>
      </c>
      <c r="H8" s="8">
        <v>10000000</v>
      </c>
      <c r="I8" s="14"/>
      <c r="J8" s="14">
        <v>10000000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>
        <v>10000000</v>
      </c>
      <c r="V8" s="17">
        <v>7000000</v>
      </c>
    </row>
    <row r="9" spans="1:22" ht="15" thickBot="1" x14ac:dyDescent="0.4">
      <c r="A9" s="1"/>
      <c r="B9" s="9"/>
      <c r="C9" s="20"/>
      <c r="D9" s="20"/>
      <c r="E9" s="16">
        <v>14055079</v>
      </c>
      <c r="F9" s="50"/>
      <c r="G9" s="50"/>
      <c r="H9" s="50">
        <v>115408400</v>
      </c>
      <c r="I9" s="20">
        <v>9083333.333333334</v>
      </c>
      <c r="J9" s="20">
        <v>11083333.333333334</v>
      </c>
      <c r="K9" s="20">
        <v>11083333.333333334</v>
      </c>
      <c r="L9" s="20">
        <v>1083333.3333333335</v>
      </c>
      <c r="M9" s="20">
        <v>6083333.333333333</v>
      </c>
      <c r="N9" s="20">
        <v>9391733.333333334</v>
      </c>
      <c r="O9" s="20">
        <v>1083333.3333333335</v>
      </c>
      <c r="P9" s="20">
        <v>1083333.3333333335</v>
      </c>
      <c r="Q9" s="20">
        <v>1083333.3333333335</v>
      </c>
      <c r="R9" s="20">
        <v>1083333.3333333335</v>
      </c>
      <c r="S9" s="20">
        <v>62183333.333333336</v>
      </c>
      <c r="T9" s="20">
        <v>1083333.3333333335</v>
      </c>
      <c r="U9" s="20">
        <v>115408400.00000001</v>
      </c>
      <c r="V9" s="46">
        <v>80785880</v>
      </c>
    </row>
    <row r="10" spans="1:22" x14ac:dyDescent="0.35">
      <c r="U10" s="17"/>
    </row>
    <row r="12" spans="1:22" x14ac:dyDescent="0.35">
      <c r="A12" s="57" t="s">
        <v>0</v>
      </c>
      <c r="B12" s="57" t="s">
        <v>1</v>
      </c>
      <c r="C12" s="58">
        <v>2024</v>
      </c>
      <c r="D12" s="58"/>
      <c r="E12" s="58"/>
      <c r="F12" s="59">
        <v>2026</v>
      </c>
      <c r="G12" s="60"/>
      <c r="H12" s="61"/>
    </row>
    <row r="13" spans="1:22" x14ac:dyDescent="0.35">
      <c r="A13" s="57"/>
      <c r="B13" s="57"/>
      <c r="C13" s="4" t="s">
        <v>16</v>
      </c>
      <c r="D13" s="4" t="s">
        <v>2</v>
      </c>
      <c r="E13" s="5" t="s">
        <v>15</v>
      </c>
      <c r="F13" s="52" t="s">
        <v>17</v>
      </c>
      <c r="G13" s="52" t="s">
        <v>2</v>
      </c>
      <c r="H13" s="52" t="s">
        <v>9</v>
      </c>
      <c r="I13" s="53" t="s">
        <v>18</v>
      </c>
      <c r="J13" s="53" t="s">
        <v>19</v>
      </c>
      <c r="K13" s="53" t="s">
        <v>20</v>
      </c>
      <c r="L13" s="53" t="s">
        <v>21</v>
      </c>
      <c r="M13" s="53" t="s">
        <v>22</v>
      </c>
      <c r="N13" s="53" t="s">
        <v>23</v>
      </c>
      <c r="O13" s="53" t="s">
        <v>24</v>
      </c>
      <c r="P13" s="53" t="s">
        <v>25</v>
      </c>
      <c r="Q13" s="53" t="s">
        <v>26</v>
      </c>
      <c r="R13" s="53" t="s">
        <v>27</v>
      </c>
      <c r="S13" s="53" t="s">
        <v>28</v>
      </c>
      <c r="T13" s="54" t="s">
        <v>29</v>
      </c>
      <c r="U13" s="55" t="s">
        <v>7</v>
      </c>
    </row>
    <row r="14" spans="1:22" x14ac:dyDescent="0.35">
      <c r="A14" s="12" t="s">
        <v>5</v>
      </c>
      <c r="B14" s="13" t="s">
        <v>10</v>
      </c>
      <c r="C14" s="48"/>
      <c r="D14" s="47"/>
      <c r="E14" s="6"/>
      <c r="F14" s="8">
        <v>16900000</v>
      </c>
      <c r="G14" s="8" t="s">
        <v>3</v>
      </c>
      <c r="H14" s="8">
        <f>F14</f>
        <v>16900000</v>
      </c>
      <c r="I14" s="14">
        <f>I3*1.3</f>
        <v>10400000</v>
      </c>
      <c r="J14" s="14">
        <f t="shared" ref="J14:T14" si="0">J3*1.3</f>
        <v>0</v>
      </c>
      <c r="K14" s="14">
        <f t="shared" si="0"/>
        <v>0</v>
      </c>
      <c r="L14" s="14">
        <f t="shared" si="0"/>
        <v>0</v>
      </c>
      <c r="M14" s="14">
        <f t="shared" si="0"/>
        <v>6500000</v>
      </c>
      <c r="N14" s="14">
        <f t="shared" si="0"/>
        <v>0</v>
      </c>
      <c r="O14" s="14">
        <f t="shared" si="0"/>
        <v>0</v>
      </c>
      <c r="P14" s="14">
        <f t="shared" si="0"/>
        <v>0</v>
      </c>
      <c r="Q14" s="14">
        <f t="shared" si="0"/>
        <v>0</v>
      </c>
      <c r="R14" s="14">
        <f t="shared" si="0"/>
        <v>0</v>
      </c>
      <c r="S14" s="14">
        <f t="shared" si="0"/>
        <v>0</v>
      </c>
      <c r="T14" s="14">
        <f t="shared" si="0"/>
        <v>0</v>
      </c>
      <c r="U14" s="56">
        <f>SUM(I14:T14)</f>
        <v>16900000</v>
      </c>
    </row>
    <row r="15" spans="1:22" x14ac:dyDescent="0.35">
      <c r="A15" s="12" t="s">
        <v>5</v>
      </c>
      <c r="B15" s="13" t="s">
        <v>11</v>
      </c>
      <c r="C15" s="48">
        <v>160000</v>
      </c>
      <c r="D15" s="47" t="s">
        <v>4</v>
      </c>
      <c r="E15" s="6">
        <v>6368000</v>
      </c>
      <c r="F15" s="10">
        <v>79430000</v>
      </c>
      <c r="G15" s="8" t="s">
        <v>3</v>
      </c>
      <c r="H15" s="8">
        <f t="shared" ref="H15:H17" si="1">F15</f>
        <v>79430000</v>
      </c>
      <c r="I15" s="14">
        <f t="shared" ref="I15:T19" si="2">I4*1.3</f>
        <v>0</v>
      </c>
      <c r="J15" s="14">
        <f t="shared" si="2"/>
        <v>0</v>
      </c>
      <c r="K15" s="14">
        <f t="shared" si="2"/>
        <v>0</v>
      </c>
      <c r="L15" s="14">
        <f t="shared" si="2"/>
        <v>0</v>
      </c>
      <c r="M15" s="14">
        <f t="shared" si="2"/>
        <v>0</v>
      </c>
      <c r="N15" s="14">
        <f t="shared" si="2"/>
        <v>0</v>
      </c>
      <c r="O15" s="14">
        <f t="shared" si="2"/>
        <v>0</v>
      </c>
      <c r="P15" s="14">
        <f t="shared" si="2"/>
        <v>0</v>
      </c>
      <c r="Q15" s="14">
        <f t="shared" si="2"/>
        <v>0</v>
      </c>
      <c r="R15" s="14">
        <f t="shared" si="2"/>
        <v>0</v>
      </c>
      <c r="S15" s="14">
        <f t="shared" si="2"/>
        <v>79430000</v>
      </c>
      <c r="T15" s="14">
        <f t="shared" si="2"/>
        <v>0</v>
      </c>
      <c r="U15" s="56">
        <f t="shared" ref="U15:U19" si="3">SUM(I15:T15)</f>
        <v>79430000</v>
      </c>
    </row>
    <row r="16" spans="1:22" x14ac:dyDescent="0.35">
      <c r="A16" s="12" t="s">
        <v>5</v>
      </c>
      <c r="B16" s="13" t="s">
        <v>14</v>
      </c>
      <c r="C16" s="48">
        <v>60000</v>
      </c>
      <c r="D16" s="47" t="s">
        <v>4</v>
      </c>
      <c r="E16" s="6">
        <v>2388000</v>
      </c>
      <c r="F16" s="8">
        <v>7800000</v>
      </c>
      <c r="G16" s="8" t="s">
        <v>3</v>
      </c>
      <c r="H16" s="8">
        <f t="shared" si="1"/>
        <v>7800000</v>
      </c>
      <c r="I16" s="14">
        <f t="shared" si="2"/>
        <v>650000</v>
      </c>
      <c r="J16" s="14">
        <f t="shared" si="2"/>
        <v>650000</v>
      </c>
      <c r="K16" s="14">
        <f t="shared" si="2"/>
        <v>650000</v>
      </c>
      <c r="L16" s="14">
        <f t="shared" si="2"/>
        <v>650000</v>
      </c>
      <c r="M16" s="14">
        <f t="shared" si="2"/>
        <v>650000</v>
      </c>
      <c r="N16" s="14">
        <f t="shared" si="2"/>
        <v>650000</v>
      </c>
      <c r="O16" s="14">
        <f t="shared" si="2"/>
        <v>650000</v>
      </c>
      <c r="P16" s="14">
        <f t="shared" si="2"/>
        <v>650000</v>
      </c>
      <c r="Q16" s="14">
        <f t="shared" si="2"/>
        <v>650000</v>
      </c>
      <c r="R16" s="14">
        <f t="shared" si="2"/>
        <v>650000</v>
      </c>
      <c r="S16" s="14">
        <f t="shared" si="2"/>
        <v>650000</v>
      </c>
      <c r="T16" s="14">
        <f t="shared" si="2"/>
        <v>650000</v>
      </c>
      <c r="U16" s="56">
        <f t="shared" si="3"/>
        <v>7800000</v>
      </c>
    </row>
    <row r="17" spans="1:21" x14ac:dyDescent="0.35">
      <c r="A17" s="12" t="s">
        <v>5</v>
      </c>
      <c r="B17" s="13" t="s">
        <v>12</v>
      </c>
      <c r="C17" s="48">
        <v>7000</v>
      </c>
      <c r="D17" s="47" t="s">
        <v>4</v>
      </c>
      <c r="E17" s="6">
        <v>278600</v>
      </c>
      <c r="F17" s="11">
        <v>9100000</v>
      </c>
      <c r="G17" s="8" t="s">
        <v>3</v>
      </c>
      <c r="H17" s="8">
        <f t="shared" si="1"/>
        <v>9100000</v>
      </c>
      <c r="I17" s="14">
        <f t="shared" si="2"/>
        <v>758333.33333333337</v>
      </c>
      <c r="J17" s="14">
        <f t="shared" si="2"/>
        <v>758333.33333333337</v>
      </c>
      <c r="K17" s="14">
        <f t="shared" si="2"/>
        <v>758333.33333333337</v>
      </c>
      <c r="L17" s="14">
        <f t="shared" si="2"/>
        <v>758333.33333333337</v>
      </c>
      <c r="M17" s="14">
        <f t="shared" si="2"/>
        <v>758333.33333333337</v>
      </c>
      <c r="N17" s="14">
        <f t="shared" si="2"/>
        <v>758333.33333333337</v>
      </c>
      <c r="O17" s="14">
        <f t="shared" si="2"/>
        <v>758333.33333333337</v>
      </c>
      <c r="P17" s="14">
        <f t="shared" si="2"/>
        <v>758333.33333333337</v>
      </c>
      <c r="Q17" s="14">
        <f t="shared" si="2"/>
        <v>758333.33333333337</v>
      </c>
      <c r="R17" s="14">
        <f t="shared" si="2"/>
        <v>758333.33333333337</v>
      </c>
      <c r="S17" s="14">
        <f t="shared" si="2"/>
        <v>758333.33333333337</v>
      </c>
      <c r="T17" s="14">
        <f t="shared" si="2"/>
        <v>758333.33333333337</v>
      </c>
      <c r="U17" s="56">
        <f t="shared" si="3"/>
        <v>9099999.9999999981</v>
      </c>
    </row>
    <row r="18" spans="1:21" x14ac:dyDescent="0.35">
      <c r="A18" s="12" t="s">
        <v>5</v>
      </c>
      <c r="B18" s="13" t="s">
        <v>13</v>
      </c>
      <c r="C18" s="48">
        <v>45479</v>
      </c>
      <c r="D18" s="47" t="s">
        <v>3</v>
      </c>
      <c r="E18" s="6">
        <v>45479</v>
      </c>
      <c r="F18" s="8">
        <v>494000</v>
      </c>
      <c r="G18" s="8" t="s">
        <v>4</v>
      </c>
      <c r="H18" s="8">
        <f>F18*52.6</f>
        <v>25984400</v>
      </c>
      <c r="I18" s="14">
        <f t="shared" si="2"/>
        <v>0</v>
      </c>
      <c r="J18" s="14">
        <f t="shared" si="2"/>
        <v>0</v>
      </c>
      <c r="K18" s="14">
        <f t="shared" si="2"/>
        <v>13000000</v>
      </c>
      <c r="L18" s="14">
        <f t="shared" si="2"/>
        <v>0</v>
      </c>
      <c r="M18" s="14">
        <f t="shared" si="2"/>
        <v>0</v>
      </c>
      <c r="N18" s="14">
        <f t="shared" si="2"/>
        <v>10800920</v>
      </c>
      <c r="O18" s="14">
        <f t="shared" si="2"/>
        <v>0</v>
      </c>
      <c r="P18" s="14">
        <f t="shared" si="2"/>
        <v>0</v>
      </c>
      <c r="Q18" s="14">
        <f t="shared" si="2"/>
        <v>0</v>
      </c>
      <c r="R18" s="14">
        <f t="shared" si="2"/>
        <v>0</v>
      </c>
      <c r="S18" s="14">
        <f t="shared" si="2"/>
        <v>0</v>
      </c>
      <c r="T18" s="14">
        <f t="shared" si="2"/>
        <v>0</v>
      </c>
      <c r="U18" s="56">
        <f t="shared" si="3"/>
        <v>23800920</v>
      </c>
    </row>
    <row r="19" spans="1:21" x14ac:dyDescent="0.35">
      <c r="A19" s="2" t="s">
        <v>5</v>
      </c>
      <c r="B19" s="3" t="s">
        <v>6</v>
      </c>
      <c r="C19" s="48">
        <v>125000</v>
      </c>
      <c r="D19" s="47" t="s">
        <v>4</v>
      </c>
      <c r="E19" s="6">
        <v>4975000</v>
      </c>
      <c r="F19" s="49">
        <v>13000000</v>
      </c>
      <c r="G19" s="8" t="s">
        <v>3</v>
      </c>
      <c r="H19" s="8">
        <f>F19</f>
        <v>13000000</v>
      </c>
      <c r="I19" s="14">
        <f t="shared" si="2"/>
        <v>0</v>
      </c>
      <c r="J19" s="14">
        <f t="shared" si="2"/>
        <v>13000000</v>
      </c>
      <c r="K19" s="14">
        <f t="shared" si="2"/>
        <v>0</v>
      </c>
      <c r="L19" s="14">
        <f t="shared" si="2"/>
        <v>0</v>
      </c>
      <c r="M19" s="14">
        <f t="shared" si="2"/>
        <v>0</v>
      </c>
      <c r="N19" s="14">
        <f t="shared" si="2"/>
        <v>0</v>
      </c>
      <c r="O19" s="14">
        <f t="shared" si="2"/>
        <v>0</v>
      </c>
      <c r="P19" s="14">
        <f t="shared" si="2"/>
        <v>0</v>
      </c>
      <c r="Q19" s="14">
        <f t="shared" si="2"/>
        <v>0</v>
      </c>
      <c r="R19" s="14">
        <f t="shared" si="2"/>
        <v>0</v>
      </c>
      <c r="S19" s="14">
        <f t="shared" si="2"/>
        <v>0</v>
      </c>
      <c r="T19" s="14">
        <f t="shared" si="2"/>
        <v>0</v>
      </c>
      <c r="U19" s="56">
        <f t="shared" si="3"/>
        <v>13000000</v>
      </c>
    </row>
    <row r="20" spans="1:21" x14ac:dyDescent="0.35">
      <c r="A20" s="1"/>
      <c r="B20" s="9"/>
      <c r="C20" s="20"/>
      <c r="D20" s="20"/>
      <c r="E20" s="16">
        <v>14055079</v>
      </c>
      <c r="F20" s="50"/>
      <c r="G20" s="50"/>
      <c r="H20" s="50">
        <v>152214400</v>
      </c>
      <c r="I20" s="20">
        <f>SUM(I14:I19)</f>
        <v>11808333.333333334</v>
      </c>
      <c r="J20" s="20">
        <f t="shared" ref="J20:U20" si="4">SUM(J14:J19)</f>
        <v>14408333.333333334</v>
      </c>
      <c r="K20" s="20">
        <f t="shared" si="4"/>
        <v>14408333.333333334</v>
      </c>
      <c r="L20" s="20">
        <f t="shared" si="4"/>
        <v>1408333.3333333335</v>
      </c>
      <c r="M20" s="20">
        <f t="shared" si="4"/>
        <v>7908333.333333333</v>
      </c>
      <c r="N20" s="20">
        <f t="shared" si="4"/>
        <v>12209253.333333334</v>
      </c>
      <c r="O20" s="20">
        <f t="shared" si="4"/>
        <v>1408333.3333333335</v>
      </c>
      <c r="P20" s="20">
        <f t="shared" si="4"/>
        <v>1408333.3333333335</v>
      </c>
      <c r="Q20" s="20">
        <f t="shared" si="4"/>
        <v>1408333.3333333335</v>
      </c>
      <c r="R20" s="20">
        <f t="shared" si="4"/>
        <v>1408333.3333333335</v>
      </c>
      <c r="S20" s="20">
        <f t="shared" si="4"/>
        <v>80838333.333333328</v>
      </c>
      <c r="T20" s="20">
        <f t="shared" si="4"/>
        <v>1408333.3333333335</v>
      </c>
      <c r="U20" s="20">
        <f t="shared" si="4"/>
        <v>150030920</v>
      </c>
    </row>
    <row r="22" spans="1:21" x14ac:dyDescent="0.35"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</row>
    <row r="24" spans="1:21" x14ac:dyDescent="0.35"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</sheetData>
  <mergeCells count="8">
    <mergeCell ref="A1:A2"/>
    <mergeCell ref="B1:B2"/>
    <mergeCell ref="C1:E1"/>
    <mergeCell ref="F1:H1"/>
    <mergeCell ref="A12:A13"/>
    <mergeCell ref="B12:B13"/>
    <mergeCell ref="C12:E12"/>
    <mergeCell ref="F12:H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Capex</vt:lpstr>
      <vt:lpstr>Actual Y25</vt:lpstr>
      <vt:lpstr>Budget Y25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Manar Khalifa</dc:creator>
  <cp:lastModifiedBy>Mouhab Mahmoud Sakran</cp:lastModifiedBy>
  <dcterms:created xsi:type="dcterms:W3CDTF">2023-09-07T13:06:27Z</dcterms:created>
  <dcterms:modified xsi:type="dcterms:W3CDTF">2025-12-01T08:51:03Z</dcterms:modified>
</cp:coreProperties>
</file>